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https://d.docs.live.net/659766f1ee369f10/Documents/Anudip Course/Excel/"/>
    </mc:Choice>
  </mc:AlternateContent>
  <xr:revisionPtr revIDLastSave="773" documentId="13_ncr:1_{7E7164A1-2815-4D9C-AF3F-1E975D5B4E63}" xr6:coauthVersionLast="47" xr6:coauthVersionMax="47" xr10:uidLastSave="{A74B1BDD-078A-4615-8BFB-85E511873A56}"/>
  <bookViews>
    <workbookView xWindow="-110" yWindow="-110" windowWidth="19420" windowHeight="11020" xr2:uid="{00000000-000D-0000-FFFF-FFFF00000000}"/>
  </bookViews>
  <sheets>
    <sheet name="Expense" sheetId="1" r:id="rId1"/>
    <sheet name="Tasks" sheetId="2" r:id="rId2"/>
    <sheet name="Sheet1" sheetId="4" r:id="rId3"/>
  </sheets>
  <definedNames>
    <definedName name="_xlnm._FilterDatabase" localSheetId="0" hidden="1">Expense!$A$1:$D$51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8" i="4" l="1"/>
  <c r="D37" i="4"/>
  <c r="D36" i="4"/>
  <c r="D35" i="4"/>
  <c r="D34" i="4"/>
  <c r="D33" i="4"/>
  <c r="D32" i="4"/>
  <c r="D31" i="4"/>
  <c r="D30" i="4"/>
  <c r="D29" i="4"/>
  <c r="D39" i="4"/>
  <c r="D45" i="4"/>
  <c r="E45" i="4"/>
  <c r="D63" i="4"/>
  <c r="D64" i="4"/>
  <c r="D62" i="4"/>
  <c r="B8" i="1"/>
  <c r="B2" i="1"/>
  <c r="B3" i="1"/>
  <c r="B4" i="1"/>
  <c r="B5" i="1"/>
  <c r="B6" i="1"/>
  <c r="B7"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D55" i="4"/>
  <c r="E55" i="4" s="1"/>
  <c r="D54" i="4"/>
  <c r="E54" i="4" s="1"/>
  <c r="D53" i="4"/>
  <c r="E53" i="4" s="1"/>
  <c r="D52" i="4"/>
  <c r="E52" i="4" s="1"/>
  <c r="D51" i="4"/>
  <c r="E51" i="4" s="1"/>
  <c r="D50" i="4"/>
  <c r="E50" i="4" s="1"/>
  <c r="D49" i="4"/>
  <c r="E49" i="4" s="1"/>
  <c r="D48" i="4"/>
  <c r="E48" i="4" s="1"/>
  <c r="D47" i="4"/>
  <c r="E47" i="4" s="1"/>
  <c r="D46" i="4"/>
  <c r="E46" i="4" s="1"/>
  <c r="D5" i="4"/>
  <c r="D4" i="4"/>
  <c r="D3" i="4"/>
  <c r="D6" i="4" s="1"/>
  <c r="D14" i="4"/>
  <c r="D15" i="4"/>
  <c r="D16" i="4"/>
  <c r="D17" i="4"/>
  <c r="D18" i="4"/>
  <c r="D19" i="4"/>
  <c r="D20" i="4"/>
  <c r="D21" i="4"/>
  <c r="D22" i="4"/>
  <c r="D23" i="4"/>
  <c r="D13" i="4"/>
  <c r="D52" i="1"/>
</calcChain>
</file>

<file path=xl/sharedStrings.xml><?xml version="1.0" encoding="utf-8"?>
<sst xmlns="http://schemas.openxmlformats.org/spreadsheetml/2006/main" count="439" uniqueCount="57">
  <si>
    <t>Date</t>
  </si>
  <si>
    <t>Expense</t>
  </si>
  <si>
    <t>Medicine</t>
  </si>
  <si>
    <t>Online shopping</t>
  </si>
  <si>
    <t>Other essential items</t>
  </si>
  <si>
    <t>Vegetables &amp; Fruit</t>
  </si>
  <si>
    <t>Fish &amp; Chicken</t>
  </si>
  <si>
    <t>Ordering food</t>
  </si>
  <si>
    <t>Movie with friends</t>
  </si>
  <si>
    <t>Cab to office</t>
  </si>
  <si>
    <t>Gifts</t>
  </si>
  <si>
    <t>Mobile Bill Payment</t>
  </si>
  <si>
    <t>Trip</t>
  </si>
  <si>
    <t>Online Shopping</t>
  </si>
  <si>
    <t>Items</t>
  </si>
  <si>
    <t>How many times has Priya done transactions on online shopping, ordering food and gifts?</t>
  </si>
  <si>
    <t>Calculate the total expenses against each distinct item.</t>
  </si>
  <si>
    <t>Arrange the item-wise total expense in descending order.</t>
  </si>
  <si>
    <t>Present the item-wise total expense through a chart that shows the expense of each item as a percentage of the total expense. Don’t take trip expenses into consideration.</t>
  </si>
  <si>
    <t>Present the expense pattern visually over 3 months.</t>
  </si>
  <si>
    <t>Add a new column to the data table, name it as “Category” and apply data validation with drop-down fields as “Essentials” and “Non-essentials”. Fill in the column.</t>
  </si>
  <si>
    <t>Add another new column and name it as “Cost Type”. For each item, if the expense is more than 2000, tag it as “Over budget”, else, tag it as “Within budget”.</t>
  </si>
  <si>
    <t>Mention the ways how Priya can reduce her expenses. Justify each point.</t>
  </si>
  <si>
    <t>Task to Perform</t>
  </si>
  <si>
    <t xml:space="preserve">  </t>
  </si>
  <si>
    <t>Total Expense</t>
  </si>
  <si>
    <t>Percentage</t>
  </si>
  <si>
    <t>Category</t>
  </si>
  <si>
    <t>Essential</t>
  </si>
  <si>
    <t>Non-essential</t>
  </si>
  <si>
    <t>Cost Type</t>
  </si>
  <si>
    <t>Within Budget</t>
  </si>
  <si>
    <t>Over Budget</t>
  </si>
  <si>
    <t>1. Online shopping:</t>
  </si>
  <si>
    <t>2. Ordering food:</t>
  </si>
  <si>
    <t>3. Gifts:</t>
  </si>
  <si>
    <t>Total:</t>
  </si>
  <si>
    <t>Q1: How many times has Priya done transactions on online shopping, ordering food and gifts?</t>
  </si>
  <si>
    <t>Q2: Calculate the total expenses against each distinct item.</t>
  </si>
  <si>
    <t>Total Expenses</t>
  </si>
  <si>
    <t>Q3: Arrange the item-wise total expense in descending order.</t>
  </si>
  <si>
    <t>Q4: Present the item-wise total expense through a chart that shows the expense of each item as a percentage of the total expense. Don’t take trip expenses into consideration.</t>
  </si>
  <si>
    <t>Q5: Present the expense pattern visually over 3 months.</t>
  </si>
  <si>
    <t>Month</t>
  </si>
  <si>
    <t>October</t>
  </si>
  <si>
    <t>November</t>
  </si>
  <si>
    <t>December</t>
  </si>
  <si>
    <t>Q6: Add a new column to the data table, name it as “Category” and apply data validation with drop-down fields as “Essentials” and “Non-essentials”. Fill in the column.</t>
  </si>
  <si>
    <t>Q7: Add another new column and name it as “Cost Type”. For each item, if the expense is more than 2000, tag it as “Over budget”, else, tag it as “Within budget”.</t>
  </si>
  <si>
    <t>Q8: Mention the ways how Priya can reduce her expenses. Justify each point.</t>
  </si>
  <si>
    <t>1. Reduce unnecessary online shopping.</t>
  </si>
  <si>
    <t>2. Limit food ordering and prefer home-cooked meals.</t>
  </si>
  <si>
    <t>3. Control entertainment expenses like movies and outings.</t>
  </si>
  <si>
    <t>4. Plan trips properly to avoid high travel expenses.</t>
  </si>
  <si>
    <t>5. Maintain a monthly budget and track expenses regularly.</t>
  </si>
  <si>
    <t>6. Use public transport or shared rides to reduce cab costs.</t>
  </si>
  <si>
    <t>7. Focus more on essential expenses than luxury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</si>
</sst>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1"/>
      <color rgb="FF003F81"/>
      <name val="Verdana"/>
      <family val="2"/>
    </font>
    <font>
      <sz val="11"/>
      <color rgb="FF000000"/>
      <name val="Verdana"/>
      <family val="2"/>
    </font>
    <font>
      <sz val="24"/>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b/>
      <sz val="12"/>
      <color theme="1"/>
      <name val="Calibri"/>
      <family val="2"/>
      <scheme val="minor"/>
    </font>
    <font>
      <sz val="12"/>
      <color rgb="FF000000"/>
      <name val="Verdana"/>
      <family val="2"/>
    </font>
  </fonts>
  <fills count="14">
    <fill>
      <patternFill patternType="none"/>
    </fill>
    <fill>
      <patternFill patternType="gray125"/>
    </fill>
    <fill>
      <patternFill patternType="solid">
        <fgColor rgb="FFFFFFFF"/>
        <bgColor indexed="64"/>
      </patternFill>
    </fill>
    <fill>
      <patternFill patternType="solid">
        <fgColor rgb="FFF7F6F6"/>
        <bgColor indexed="64"/>
      </patternFill>
    </fill>
    <fill>
      <patternFill patternType="solid">
        <fgColor theme="0"/>
        <bgColor indexed="64"/>
      </patternFill>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
      <patternFill patternType="solid">
        <fgColor theme="4"/>
        <bgColor indexed="64"/>
      </patternFill>
    </fill>
    <fill>
      <patternFill patternType="solid">
        <fgColor theme="9" tint="0.39997558519241921"/>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44">
    <xf numFmtId="0" fontId="0" fillId="0" borderId="0" xfId="0"/>
    <xf numFmtId="0" fontId="1" fillId="0" borderId="0" xfId="0" applyFont="1" applyAlignment="1">
      <alignment vertical="center"/>
    </xf>
    <xf numFmtId="0" fontId="4" fillId="0" borderId="0" xfId="0" applyFont="1" applyAlignment="1">
      <alignment vertical="center"/>
    </xf>
    <xf numFmtId="0" fontId="2"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14" fontId="3" fillId="3" borderId="1" xfId="0" applyNumberFormat="1" applyFont="1" applyFill="1" applyBorder="1" applyAlignment="1">
      <alignment horizontal="center" vertical="center" wrapText="1"/>
    </xf>
    <xf numFmtId="0" fontId="3" fillId="3" borderId="1" xfId="0" applyFont="1" applyFill="1" applyBorder="1" applyAlignment="1">
      <alignment vertical="center" wrapText="1"/>
    </xf>
    <xf numFmtId="0" fontId="3" fillId="4" borderId="1" xfId="0" applyFont="1" applyFill="1" applyBorder="1" applyAlignment="1">
      <alignment horizontal="right" vertical="center" wrapText="1"/>
    </xf>
    <xf numFmtId="0" fontId="0" fillId="4" borderId="0" xfId="0" applyFill="1" applyAlignment="1">
      <alignment horizontal="right"/>
    </xf>
    <xf numFmtId="0" fontId="5" fillId="5" borderId="1" xfId="0" applyFont="1" applyFill="1" applyBorder="1" applyAlignment="1">
      <alignment horizontal="center"/>
    </xf>
    <xf numFmtId="0" fontId="0" fillId="0" borderId="1" xfId="0" applyBorder="1" applyAlignment="1">
      <alignment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right" vertical="center" wrapText="1"/>
    </xf>
    <xf numFmtId="4" fontId="3" fillId="4" borderId="2" xfId="0" applyNumberFormat="1" applyFont="1" applyFill="1" applyBorder="1" applyAlignment="1">
      <alignment horizontal="right" vertical="center" wrapText="1"/>
    </xf>
    <xf numFmtId="0" fontId="0" fillId="0" borderId="1" xfId="0" applyBorder="1"/>
    <xf numFmtId="0" fontId="0" fillId="0" borderId="0" xfId="0" applyAlignment="1">
      <alignment wrapText="1"/>
    </xf>
    <xf numFmtId="0" fontId="8" fillId="7" borderId="0" xfId="0" applyFont="1" applyFill="1"/>
    <xf numFmtId="0" fontId="7" fillId="6" borderId="0" xfId="0" applyFont="1" applyFill="1"/>
    <xf numFmtId="0" fontId="7" fillId="8" borderId="0" xfId="0" applyFont="1" applyFill="1"/>
    <xf numFmtId="0" fontId="7" fillId="8" borderId="0" xfId="0" applyFont="1" applyFill="1" applyAlignment="1">
      <alignment wrapText="1"/>
    </xf>
    <xf numFmtId="0" fontId="0" fillId="8" borderId="0" xfId="0" applyFill="1" applyAlignment="1">
      <alignment wrapText="1"/>
    </xf>
    <xf numFmtId="0" fontId="0" fillId="8" borderId="0" xfId="0" applyFill="1"/>
    <xf numFmtId="0" fontId="2" fillId="9" borderId="1" xfId="0" applyFont="1" applyFill="1" applyBorder="1" applyAlignment="1">
      <alignment horizontal="center" vertical="center" wrapText="1"/>
    </xf>
    <xf numFmtId="0" fontId="9" fillId="10" borderId="1" xfId="0" applyFont="1" applyFill="1" applyBorder="1" applyAlignment="1">
      <alignment vertical="center" wrapText="1"/>
    </xf>
    <xf numFmtId="0" fontId="8" fillId="11" borderId="0" xfId="0" applyFont="1" applyFill="1" applyAlignment="1">
      <alignment wrapText="1"/>
    </xf>
    <xf numFmtId="0" fontId="8" fillId="7" borderId="0" xfId="0" applyFont="1" applyFill="1" applyAlignment="1">
      <alignment wrapText="1"/>
    </xf>
    <xf numFmtId="0" fontId="9" fillId="5" borderId="1" xfId="0" applyFont="1" applyFill="1" applyBorder="1" applyAlignment="1">
      <alignment vertical="center" wrapText="1"/>
    </xf>
    <xf numFmtId="0" fontId="2" fillId="7" borderId="1" xfId="0" applyFont="1" applyFill="1" applyBorder="1" applyAlignment="1">
      <alignment horizontal="center" vertical="center" wrapText="1"/>
    </xf>
    <xf numFmtId="9" fontId="0" fillId="12" borderId="0" xfId="1" applyFont="1" applyFill="1"/>
    <xf numFmtId="0" fontId="2" fillId="12" borderId="1" xfId="0" applyFont="1" applyFill="1" applyBorder="1" applyAlignment="1">
      <alignment horizontal="center" vertical="center" wrapText="1"/>
    </xf>
    <xf numFmtId="14" fontId="3" fillId="12" borderId="1" xfId="0" applyNumberFormat="1" applyFont="1" applyFill="1" applyBorder="1" applyAlignment="1">
      <alignment horizontal="center" vertical="center" wrapText="1"/>
    </xf>
    <xf numFmtId="0" fontId="0" fillId="9" borderId="1" xfId="0" applyFill="1" applyBorder="1"/>
    <xf numFmtId="0" fontId="2" fillId="10" borderId="1" xfId="0" applyFont="1" applyFill="1" applyBorder="1" applyAlignment="1">
      <alignment horizontal="center" vertical="center" wrapText="1"/>
    </xf>
    <xf numFmtId="0" fontId="0" fillId="10" borderId="1" xfId="0" applyFill="1" applyBorder="1"/>
    <xf numFmtId="0" fontId="0" fillId="9" borderId="0" xfId="0" applyFill="1" applyAlignment="1">
      <alignment wrapText="1"/>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5" fillId="13" borderId="0" xfId="0" applyFont="1" applyFill="1"/>
    <xf numFmtId="2" fontId="2" fillId="7" borderId="1" xfId="0" applyNumberFormat="1" applyFont="1" applyFill="1" applyBorder="1" applyAlignment="1">
      <alignment horizontal="center" vertical="center" wrapText="1"/>
    </xf>
    <xf numFmtId="2" fontId="9" fillId="5" borderId="1" xfId="0" applyNumberFormat="1" applyFont="1" applyFill="1" applyBorder="1" applyAlignment="1">
      <alignment vertical="center" wrapText="1"/>
    </xf>
    <xf numFmtId="2" fontId="0" fillId="0" borderId="0" xfId="0" applyNumberFormat="1"/>
    <xf numFmtId="0" fontId="2" fillId="0" borderId="1" xfId="0" applyFont="1" applyBorder="1" applyAlignment="1">
      <alignment horizontal="center" vertical="center" wrapText="1"/>
    </xf>
    <xf numFmtId="0" fontId="3" fillId="0" borderId="1" xfId="0" applyFont="1" applyBorder="1" applyAlignment="1">
      <alignmen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Sheet1!$D$44</c:f>
              <c:strCache>
                <c:ptCount val="1"/>
                <c:pt idx="0">
                  <c:v>Total Expenses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Sheet1!$C$45:$C$55</c15:sqref>
                  </c15:fullRef>
                </c:ext>
              </c:extLst>
              <c:f>Sheet1!$C$45:$C$54</c:f>
              <c:strCache>
                <c:ptCount val="10"/>
                <c:pt idx="0">
                  <c:v>Medicine</c:v>
                </c:pt>
                <c:pt idx="1">
                  <c:v>Online shopping</c:v>
                </c:pt>
                <c:pt idx="2">
                  <c:v>Other essential items</c:v>
                </c:pt>
                <c:pt idx="3">
                  <c:v>Vegetables &amp; Fruit</c:v>
                </c:pt>
                <c:pt idx="4">
                  <c:v>Fish &amp; Chicken</c:v>
                </c:pt>
                <c:pt idx="5">
                  <c:v>Gifts</c:v>
                </c:pt>
                <c:pt idx="6">
                  <c:v>Ordering food</c:v>
                </c:pt>
                <c:pt idx="7">
                  <c:v>Movie with friends</c:v>
                </c:pt>
                <c:pt idx="8">
                  <c:v>Mobile Bill Payment</c:v>
                </c:pt>
                <c:pt idx="9">
                  <c:v>Cab to office</c:v>
                </c:pt>
              </c:strCache>
            </c:strRef>
          </c:cat>
          <c:val>
            <c:numRef>
              <c:extLst>
                <c:ext xmlns:c15="http://schemas.microsoft.com/office/drawing/2012/chart" uri="{02D57815-91ED-43cb-92C2-25804820EDAC}">
                  <c15:fullRef>
                    <c15:sqref>Sheet1!$D$45:$D$55</c15:sqref>
                  </c15:fullRef>
                </c:ext>
              </c:extLst>
              <c:f>Sheet1!$D$45:$D$54</c:f>
              <c:numCache>
                <c:formatCode>General</c:formatCode>
                <c:ptCount val="10"/>
                <c:pt idx="0">
                  <c:v>7775</c:v>
                </c:pt>
                <c:pt idx="1">
                  <c:v>7464</c:v>
                </c:pt>
                <c:pt idx="2">
                  <c:v>10194.1</c:v>
                </c:pt>
                <c:pt idx="3">
                  <c:v>3217</c:v>
                </c:pt>
                <c:pt idx="4">
                  <c:v>3342</c:v>
                </c:pt>
                <c:pt idx="5">
                  <c:v>5688</c:v>
                </c:pt>
                <c:pt idx="6">
                  <c:v>1857</c:v>
                </c:pt>
                <c:pt idx="7">
                  <c:v>2586</c:v>
                </c:pt>
                <c:pt idx="8">
                  <c:v>1411.26</c:v>
                </c:pt>
                <c:pt idx="9">
                  <c:v>1510.9099999999999</c:v>
                </c:pt>
              </c:numCache>
            </c:numRef>
          </c:val>
          <c:extLst>
            <c:ext xmlns:c16="http://schemas.microsoft.com/office/drawing/2014/chart" uri="{C3380CC4-5D6E-409C-BE32-E72D297353CC}">
              <c16:uniqueId val="{00000000-0026-4D96-B4D4-04D43B55212B}"/>
            </c:ext>
          </c:extLst>
        </c:ser>
        <c:ser>
          <c:idx val="1"/>
          <c:order val="1"/>
          <c:tx>
            <c:strRef>
              <c:f>Sheet1!$E$44</c:f>
              <c:strCache>
                <c:ptCount val="1"/>
                <c:pt idx="0">
                  <c:v>Percentage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Sheet1!$C$45:$C$55</c15:sqref>
                  </c15:fullRef>
                </c:ext>
              </c:extLst>
              <c:f>Sheet1!$C$45:$C$54</c:f>
              <c:strCache>
                <c:ptCount val="10"/>
                <c:pt idx="0">
                  <c:v>Medicine</c:v>
                </c:pt>
                <c:pt idx="1">
                  <c:v>Online shopping</c:v>
                </c:pt>
                <c:pt idx="2">
                  <c:v>Other essential items</c:v>
                </c:pt>
                <c:pt idx="3">
                  <c:v>Vegetables &amp; Fruit</c:v>
                </c:pt>
                <c:pt idx="4">
                  <c:v>Fish &amp; Chicken</c:v>
                </c:pt>
                <c:pt idx="5">
                  <c:v>Gifts</c:v>
                </c:pt>
                <c:pt idx="6">
                  <c:v>Ordering food</c:v>
                </c:pt>
                <c:pt idx="7">
                  <c:v>Movie with friends</c:v>
                </c:pt>
                <c:pt idx="8">
                  <c:v>Mobile Bill Payment</c:v>
                </c:pt>
                <c:pt idx="9">
                  <c:v>Cab to office</c:v>
                </c:pt>
              </c:strCache>
            </c:strRef>
          </c:cat>
          <c:val>
            <c:numRef>
              <c:extLst>
                <c:ext xmlns:c15="http://schemas.microsoft.com/office/drawing/2012/chart" uri="{02D57815-91ED-43cb-92C2-25804820EDAC}">
                  <c15:fullRef>
                    <c15:sqref>Sheet1!$E$45:$E$55</c15:sqref>
                  </c15:fullRef>
                </c:ext>
              </c:extLst>
              <c:f>Sheet1!$E$45:$E$54</c:f>
              <c:numCache>
                <c:formatCode>0%</c:formatCode>
                <c:ptCount val="10"/>
                <c:pt idx="0">
                  <c:v>0.13629526164044803</c:v>
                </c:pt>
                <c:pt idx="1">
                  <c:v>0.13084345117483009</c:v>
                </c:pt>
                <c:pt idx="2">
                  <c:v>0.17870193269310497</c:v>
                </c:pt>
                <c:pt idx="3">
                  <c:v>5.639380793534679E-2</c:v>
                </c:pt>
                <c:pt idx="4">
                  <c:v>5.8585050083907048E-2</c:v>
                </c:pt>
                <c:pt idx="5">
                  <c:v>9.9710282728085964E-2</c:v>
                </c:pt>
                <c:pt idx="6">
                  <c:v>3.2553093359011187E-2</c:v>
                </c:pt>
                <c:pt idx="7">
                  <c:v>4.5332417569414613E-2</c:v>
                </c:pt>
                <c:pt idx="8">
                  <c:v>2.4739299156617194E-2</c:v>
                </c:pt>
                <c:pt idx="9">
                  <c:v>2.6486157397449427E-2</c:v>
                </c:pt>
              </c:numCache>
            </c:numRef>
          </c:val>
          <c:extLst>
            <c:ext xmlns:c16="http://schemas.microsoft.com/office/drawing/2014/chart" uri="{C3380CC4-5D6E-409C-BE32-E72D297353CC}">
              <c16:uniqueId val="{00000001-0026-4D96-B4D4-04D43B55212B}"/>
            </c:ext>
          </c:extLst>
        </c:ser>
        <c:dLbls>
          <c:showLegendKey val="0"/>
          <c:showVal val="1"/>
          <c:showCatName val="0"/>
          <c:showSerName val="0"/>
          <c:showPercent val="0"/>
          <c:showBubbleSize val="0"/>
        </c:dLbls>
        <c:gapWidth val="65"/>
        <c:shape val="box"/>
        <c:axId val="413377184"/>
        <c:axId val="413377664"/>
        <c:axId val="0"/>
      </c:bar3DChart>
      <c:catAx>
        <c:axId val="4133771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IN" sz="1000" b="1"/>
                  <a:t>Items</a:t>
                </a:r>
              </a:p>
            </c:rich>
          </c:tx>
          <c:overlay val="0"/>
          <c:spPr>
            <a:solidFill>
              <a:schemeClr val="accent6"/>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3377664"/>
        <c:crosses val="autoZero"/>
        <c:auto val="1"/>
        <c:lblAlgn val="ctr"/>
        <c:lblOffset val="100"/>
        <c:noMultiLvlLbl val="0"/>
      </c:catAx>
      <c:valAx>
        <c:axId val="41337766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IN" sz="1000" b="1"/>
                  <a:t>Total</a:t>
                </a:r>
                <a:r>
                  <a:rPr lang="en-IN" sz="1000" b="1" baseline="0"/>
                  <a:t> Expenses</a:t>
                </a:r>
                <a:endParaRPr lang="en-IN" sz="1000" b="1"/>
              </a:p>
            </c:rich>
          </c:tx>
          <c:layout>
            <c:manualLayout>
              <c:xMode val="edge"/>
              <c:yMode val="edge"/>
              <c:x val="2.9385389326334208E-2"/>
              <c:y val="0.2452548118985127"/>
            </c:manualLayout>
          </c:layout>
          <c:overlay val="0"/>
          <c:spPr>
            <a:solidFill>
              <a:schemeClr val="accent6"/>
            </a:solidFill>
            <a:ln>
              <a:noFill/>
            </a:ln>
            <a:effectLst/>
          </c:spPr>
          <c:txPr>
            <a:bodyPr rot="-54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1337718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Sheet1!$D$61</c:f>
              <c:strCache>
                <c:ptCount val="1"/>
                <c:pt idx="0">
                  <c:v>Total Expense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Sheet1!$C$62:$C$64</c:f>
              <c:strCache>
                <c:ptCount val="3"/>
                <c:pt idx="0">
                  <c:v>October</c:v>
                </c:pt>
                <c:pt idx="1">
                  <c:v>November</c:v>
                </c:pt>
                <c:pt idx="2">
                  <c:v>December</c:v>
                </c:pt>
              </c:strCache>
            </c:strRef>
          </c:cat>
          <c:val>
            <c:numRef>
              <c:f>Sheet1!$D$62:$D$64</c:f>
              <c:numCache>
                <c:formatCode>General</c:formatCode>
                <c:ptCount val="3"/>
                <c:pt idx="0">
                  <c:v>17443.37</c:v>
                </c:pt>
                <c:pt idx="1">
                  <c:v>18764.269999999997</c:v>
                </c:pt>
                <c:pt idx="2">
                  <c:v>20837.63</c:v>
                </c:pt>
              </c:numCache>
            </c:numRef>
          </c:val>
          <c:smooth val="0"/>
          <c:extLst>
            <c:ext xmlns:c16="http://schemas.microsoft.com/office/drawing/2014/chart" uri="{C3380CC4-5D6E-409C-BE32-E72D297353CC}">
              <c16:uniqueId val="{00000000-231C-4881-9937-02766AF5525E}"/>
            </c:ext>
          </c:extLst>
        </c:ser>
        <c:dLbls>
          <c:dLblPos val="t"/>
          <c:showLegendKey val="0"/>
          <c:showVal val="1"/>
          <c:showCatName val="0"/>
          <c:showSerName val="0"/>
          <c:showPercent val="0"/>
          <c:showBubbleSize val="0"/>
        </c:dLbls>
        <c:smooth val="0"/>
        <c:axId val="650612688"/>
        <c:axId val="650611728"/>
      </c:lineChart>
      <c:catAx>
        <c:axId val="6506126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solidFill>
                      <a:srgbClr val="FF0000"/>
                    </a:solidFill>
                  </a:rPr>
                  <a:t>Month</a:t>
                </a:r>
              </a:p>
            </c:rich>
          </c:tx>
          <c:layout>
            <c:manualLayout>
              <c:xMode val="edge"/>
              <c:yMode val="edge"/>
              <c:x val="0.51474868766404203"/>
              <c:y val="0.90284703995333915"/>
            </c:manualLayout>
          </c:layout>
          <c:overlay val="0"/>
          <c:spPr>
            <a:solidFill>
              <a:srgbClr val="FFFF00"/>
            </a:solid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0611728"/>
        <c:crosses val="autoZero"/>
        <c:auto val="1"/>
        <c:lblAlgn val="ctr"/>
        <c:lblOffset val="100"/>
        <c:noMultiLvlLbl val="0"/>
      </c:catAx>
      <c:valAx>
        <c:axId val="6506117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rgbClr val="FF0000"/>
                    </a:solidFill>
                    <a:latin typeface="+mn-lt"/>
                    <a:ea typeface="+mn-ea"/>
                    <a:cs typeface="+mn-cs"/>
                  </a:defRPr>
                </a:pPr>
                <a:r>
                  <a:rPr lang="en-IN">
                    <a:solidFill>
                      <a:srgbClr val="FF0000"/>
                    </a:solidFill>
                  </a:rPr>
                  <a:t>Total</a:t>
                </a:r>
                <a:r>
                  <a:rPr lang="en-IN" baseline="0">
                    <a:solidFill>
                      <a:srgbClr val="FF0000"/>
                    </a:solidFill>
                  </a:rPr>
                  <a:t> Expense</a:t>
                </a:r>
                <a:endParaRPr lang="en-IN">
                  <a:solidFill>
                    <a:srgbClr val="FF0000"/>
                  </a:solidFill>
                </a:endParaRPr>
              </a:p>
            </c:rich>
          </c:tx>
          <c:layout>
            <c:manualLayout>
              <c:xMode val="edge"/>
              <c:yMode val="edge"/>
              <c:x val="1.9444444444444445E-2"/>
              <c:y val="0.34017752989209682"/>
            </c:manualLayout>
          </c:layout>
          <c:overlay val="0"/>
          <c:spPr>
            <a:solidFill>
              <a:srgbClr val="FFFF00"/>
            </a:solidFill>
            <a:ln>
              <a:noFill/>
            </a:ln>
            <a:effectLst/>
          </c:spPr>
          <c:txPr>
            <a:bodyPr rot="-5400000" spcFirstLastPara="1" vertOverflow="ellipsis" vert="horz" wrap="square" anchor="ctr" anchorCtr="1"/>
            <a:lstStyle/>
            <a:p>
              <a:pPr>
                <a:defRPr sz="900" b="1" i="0" u="none" strike="noStrike" kern="1200" cap="all" baseline="0">
                  <a:solidFill>
                    <a:srgbClr val="FF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061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28575</xdr:colOff>
      <xdr:row>42</xdr:row>
      <xdr:rowOff>168275</xdr:rowOff>
    </xdr:from>
    <xdr:to>
      <xdr:col>13</xdr:col>
      <xdr:colOff>333375</xdr:colOff>
      <xdr:row>55</xdr:row>
      <xdr:rowOff>98425</xdr:rowOff>
    </xdr:to>
    <xdr:graphicFrame macro="">
      <xdr:nvGraphicFramePr>
        <xdr:cNvPr id="2" name="Chart 1">
          <a:extLst>
            <a:ext uri="{FF2B5EF4-FFF2-40B4-BE49-F238E27FC236}">
              <a16:creationId xmlns:a16="http://schemas.microsoft.com/office/drawing/2014/main" id="{194B5778-33A0-7C27-FF50-9234E5658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720725</xdr:colOff>
      <xdr:row>59</xdr:row>
      <xdr:rowOff>174625</xdr:rowOff>
    </xdr:from>
    <xdr:to>
      <xdr:col>11</xdr:col>
      <xdr:colOff>409575</xdr:colOff>
      <xdr:row>73</xdr:row>
      <xdr:rowOff>180975</xdr:rowOff>
    </xdr:to>
    <xdr:graphicFrame macro="">
      <xdr:nvGraphicFramePr>
        <xdr:cNvPr id="3" name="Chart 2">
          <a:extLst>
            <a:ext uri="{FF2B5EF4-FFF2-40B4-BE49-F238E27FC236}">
              <a16:creationId xmlns:a16="http://schemas.microsoft.com/office/drawing/2014/main" id="{BF4E78A1-FA31-9E4E-3706-0BCBF0542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zoomScale="145" zoomScaleNormal="145" workbookViewId="0">
      <selection activeCell="D1" sqref="D1:D1048576"/>
    </sheetView>
  </sheetViews>
  <sheetFormatPr defaultRowHeight="14.5" x14ac:dyDescent="0.35"/>
  <cols>
    <col min="1" max="2" width="17.08984375" customWidth="1"/>
    <col min="3" max="3" width="24.54296875" customWidth="1"/>
    <col min="4" max="4" width="14.453125" style="9" customWidth="1"/>
    <col min="5" max="5" width="11.90625" style="15" customWidth="1"/>
    <col min="6" max="6" width="12.6328125" style="15" customWidth="1"/>
  </cols>
  <sheetData>
    <row r="1" spans="1:8" ht="13.75" customHeight="1" x14ac:dyDescent="0.35">
      <c r="A1" s="3" t="s">
        <v>0</v>
      </c>
      <c r="B1" s="30" t="s">
        <v>43</v>
      </c>
      <c r="C1" s="42" t="s">
        <v>14</v>
      </c>
      <c r="D1" s="12" t="s">
        <v>1</v>
      </c>
      <c r="E1" s="23" t="s">
        <v>27</v>
      </c>
      <c r="F1" s="33" t="s">
        <v>30</v>
      </c>
    </row>
    <row r="2" spans="1:8" ht="18" customHeight="1" x14ac:dyDescent="0.35">
      <c r="A2" s="4">
        <v>44470</v>
      </c>
      <c r="B2" s="31" t="str">
        <f>TEXT(A2,"mmmm")</f>
        <v>October</v>
      </c>
      <c r="C2" s="43" t="s">
        <v>2</v>
      </c>
      <c r="D2" s="13">
        <v>2300</v>
      </c>
      <c r="E2" s="32" t="s">
        <v>28</v>
      </c>
      <c r="F2" s="34" t="s">
        <v>32</v>
      </c>
    </row>
    <row r="3" spans="1:8" x14ac:dyDescent="0.35">
      <c r="A3" s="6">
        <v>44470</v>
      </c>
      <c r="B3" s="31" t="str">
        <f t="shared" ref="B3:B51" si="0">TEXT(A3,"mmmm")</f>
        <v>October</v>
      </c>
      <c r="C3" s="43" t="s">
        <v>3</v>
      </c>
      <c r="D3" s="13">
        <v>767</v>
      </c>
      <c r="E3" s="32" t="s">
        <v>29</v>
      </c>
      <c r="F3" s="34" t="s">
        <v>31</v>
      </c>
    </row>
    <row r="4" spans="1:8" x14ac:dyDescent="0.35">
      <c r="A4" s="6">
        <v>44470</v>
      </c>
      <c r="B4" s="31" t="str">
        <f t="shared" si="0"/>
        <v>October</v>
      </c>
      <c r="C4" s="43" t="s">
        <v>4</v>
      </c>
      <c r="D4" s="14">
        <v>2500</v>
      </c>
      <c r="E4" s="32" t="s">
        <v>28</v>
      </c>
      <c r="F4" s="34" t="s">
        <v>32</v>
      </c>
    </row>
    <row r="5" spans="1:8" x14ac:dyDescent="0.35">
      <c r="A5" s="6">
        <v>44473</v>
      </c>
      <c r="B5" s="31" t="str">
        <f t="shared" si="0"/>
        <v>October</v>
      </c>
      <c r="C5" s="43" t="s">
        <v>5</v>
      </c>
      <c r="D5" s="13">
        <v>710</v>
      </c>
      <c r="E5" s="32" t="s">
        <v>28</v>
      </c>
      <c r="F5" s="34" t="s">
        <v>31</v>
      </c>
    </row>
    <row r="6" spans="1:8" x14ac:dyDescent="0.35">
      <c r="A6" s="4">
        <v>44473</v>
      </c>
      <c r="B6" s="31" t="str">
        <f t="shared" si="0"/>
        <v>October</v>
      </c>
      <c r="C6" s="43" t="s">
        <v>6</v>
      </c>
      <c r="D6" s="13">
        <v>760</v>
      </c>
      <c r="E6" s="32" t="s">
        <v>29</v>
      </c>
      <c r="F6" s="34" t="s">
        <v>32</v>
      </c>
    </row>
    <row r="7" spans="1:8" x14ac:dyDescent="0.35">
      <c r="A7" s="6">
        <v>44476</v>
      </c>
      <c r="B7" s="31" t="str">
        <f t="shared" si="0"/>
        <v>October</v>
      </c>
      <c r="C7" s="43" t="s">
        <v>10</v>
      </c>
      <c r="D7" s="14">
        <v>1900</v>
      </c>
      <c r="E7" s="32" t="s">
        <v>29</v>
      </c>
      <c r="F7" s="34" t="s">
        <v>31</v>
      </c>
    </row>
    <row r="8" spans="1:8" x14ac:dyDescent="0.35">
      <c r="A8" s="4">
        <v>44477</v>
      </c>
      <c r="B8" s="31" t="str">
        <f>TEXT(A8,"mmmm")</f>
        <v>October</v>
      </c>
      <c r="C8" s="43" t="s">
        <v>7</v>
      </c>
      <c r="D8" s="13">
        <v>450</v>
      </c>
      <c r="E8" s="32" t="s">
        <v>29</v>
      </c>
      <c r="F8" s="34" t="s">
        <v>31</v>
      </c>
    </row>
    <row r="9" spans="1:8" x14ac:dyDescent="0.35">
      <c r="A9" s="6">
        <v>44484</v>
      </c>
      <c r="B9" s="31" t="str">
        <f t="shared" si="0"/>
        <v>October</v>
      </c>
      <c r="C9" s="43" t="s">
        <v>8</v>
      </c>
      <c r="D9" s="13">
        <v>620</v>
      </c>
      <c r="E9" s="32" t="s">
        <v>29</v>
      </c>
      <c r="F9" s="34" t="s">
        <v>31</v>
      </c>
    </row>
    <row r="10" spans="1:8" x14ac:dyDescent="0.35">
      <c r="A10" s="6">
        <v>44485</v>
      </c>
      <c r="B10" s="31" t="str">
        <f t="shared" si="0"/>
        <v>October</v>
      </c>
      <c r="C10" s="43" t="s">
        <v>11</v>
      </c>
      <c r="D10" s="13">
        <v>470</v>
      </c>
      <c r="E10" s="32" t="s">
        <v>28</v>
      </c>
      <c r="F10" s="34" t="s">
        <v>31</v>
      </c>
    </row>
    <row r="11" spans="1:8" x14ac:dyDescent="0.35">
      <c r="A11" s="6">
        <v>44487</v>
      </c>
      <c r="B11" s="31" t="str">
        <f t="shared" si="0"/>
        <v>October</v>
      </c>
      <c r="C11" s="43" t="s">
        <v>3</v>
      </c>
      <c r="D11" s="13">
        <v>970</v>
      </c>
      <c r="E11" s="32" t="s">
        <v>29</v>
      </c>
      <c r="F11" s="34" t="s">
        <v>31</v>
      </c>
    </row>
    <row r="12" spans="1:8" x14ac:dyDescent="0.35">
      <c r="A12" s="6">
        <v>44487</v>
      </c>
      <c r="B12" s="31" t="str">
        <f t="shared" si="0"/>
        <v>October</v>
      </c>
      <c r="C12" s="43" t="s">
        <v>2</v>
      </c>
      <c r="D12" s="14">
        <v>1075</v>
      </c>
      <c r="E12" s="32" t="s">
        <v>28</v>
      </c>
      <c r="F12" s="34" t="s">
        <v>31</v>
      </c>
      <c r="H12" t="s">
        <v>24</v>
      </c>
    </row>
    <row r="13" spans="1:8" x14ac:dyDescent="0.35">
      <c r="A13" s="6">
        <v>44488</v>
      </c>
      <c r="B13" s="31" t="str">
        <f t="shared" si="0"/>
        <v>October</v>
      </c>
      <c r="C13" s="43" t="s">
        <v>7</v>
      </c>
      <c r="D13" s="13">
        <v>489</v>
      </c>
      <c r="E13" s="32" t="s">
        <v>29</v>
      </c>
      <c r="F13" s="34" t="s">
        <v>31</v>
      </c>
    </row>
    <row r="14" spans="1:8" x14ac:dyDescent="0.35">
      <c r="A14" s="6">
        <v>44491</v>
      </c>
      <c r="B14" s="31" t="str">
        <f t="shared" si="0"/>
        <v>October</v>
      </c>
      <c r="C14" s="43" t="s">
        <v>4</v>
      </c>
      <c r="D14" s="14">
        <v>1574.1</v>
      </c>
      <c r="E14" s="32" t="s">
        <v>28</v>
      </c>
      <c r="F14" s="34" t="s">
        <v>31</v>
      </c>
    </row>
    <row r="15" spans="1:8" x14ac:dyDescent="0.35">
      <c r="A15" s="6">
        <v>44491</v>
      </c>
      <c r="B15" s="31" t="str">
        <f t="shared" si="0"/>
        <v>October</v>
      </c>
      <c r="C15" s="43" t="s">
        <v>6</v>
      </c>
      <c r="D15" s="13">
        <v>550</v>
      </c>
      <c r="E15" s="32" t="s">
        <v>29</v>
      </c>
      <c r="F15" s="34" t="s">
        <v>31</v>
      </c>
    </row>
    <row r="16" spans="1:8" x14ac:dyDescent="0.35">
      <c r="A16" s="6">
        <v>44494</v>
      </c>
      <c r="B16" s="31" t="str">
        <f t="shared" si="0"/>
        <v>October</v>
      </c>
      <c r="C16" s="43" t="s">
        <v>9</v>
      </c>
      <c r="D16" s="13">
        <v>423</v>
      </c>
      <c r="E16" s="32" t="s">
        <v>29</v>
      </c>
      <c r="F16" s="34" t="s">
        <v>31</v>
      </c>
    </row>
    <row r="17" spans="1:6" x14ac:dyDescent="0.35">
      <c r="A17" s="6">
        <v>44496</v>
      </c>
      <c r="B17" s="31" t="str">
        <f t="shared" si="0"/>
        <v>October</v>
      </c>
      <c r="C17" s="43" t="s">
        <v>9</v>
      </c>
      <c r="D17" s="13">
        <v>358.22</v>
      </c>
      <c r="E17" s="32" t="s">
        <v>29</v>
      </c>
      <c r="F17" s="34" t="s">
        <v>31</v>
      </c>
    </row>
    <row r="18" spans="1:6" x14ac:dyDescent="0.35">
      <c r="A18" s="6">
        <v>44496</v>
      </c>
      <c r="B18" s="31" t="str">
        <f t="shared" si="0"/>
        <v>October</v>
      </c>
      <c r="C18" s="43" t="s">
        <v>8</v>
      </c>
      <c r="D18" s="13">
        <v>520</v>
      </c>
      <c r="E18" s="32" t="s">
        <v>29</v>
      </c>
      <c r="F18" s="34" t="s">
        <v>31</v>
      </c>
    </row>
    <row r="19" spans="1:6" x14ac:dyDescent="0.35">
      <c r="A19" s="4">
        <v>44497</v>
      </c>
      <c r="B19" s="31" t="str">
        <f t="shared" si="0"/>
        <v>October</v>
      </c>
      <c r="C19" s="43" t="s">
        <v>5</v>
      </c>
      <c r="D19" s="13">
        <v>300</v>
      </c>
      <c r="E19" s="32" t="s">
        <v>28</v>
      </c>
      <c r="F19" s="34" t="s">
        <v>31</v>
      </c>
    </row>
    <row r="20" spans="1:6" x14ac:dyDescent="0.35">
      <c r="A20" s="4">
        <v>44498</v>
      </c>
      <c r="B20" s="31" t="str">
        <f t="shared" si="0"/>
        <v>October</v>
      </c>
      <c r="C20" s="43" t="s">
        <v>9</v>
      </c>
      <c r="D20" s="13">
        <v>407.05</v>
      </c>
      <c r="E20" s="32" t="s">
        <v>29</v>
      </c>
      <c r="F20" s="34" t="s">
        <v>31</v>
      </c>
    </row>
    <row r="21" spans="1:6" x14ac:dyDescent="0.35">
      <c r="A21" s="4">
        <v>44499</v>
      </c>
      <c r="B21" s="31" t="str">
        <f t="shared" si="0"/>
        <v>October</v>
      </c>
      <c r="C21" s="43" t="s">
        <v>4</v>
      </c>
      <c r="D21" s="13">
        <v>300</v>
      </c>
      <c r="E21" s="32" t="s">
        <v>28</v>
      </c>
      <c r="F21" s="34" t="s">
        <v>31</v>
      </c>
    </row>
    <row r="22" spans="1:6" x14ac:dyDescent="0.35">
      <c r="A22" s="6">
        <v>44501</v>
      </c>
      <c r="B22" s="31" t="str">
        <f t="shared" si="0"/>
        <v>November</v>
      </c>
      <c r="C22" s="43" t="s">
        <v>3</v>
      </c>
      <c r="D22" s="14">
        <v>2327</v>
      </c>
      <c r="E22" s="32" t="s">
        <v>29</v>
      </c>
      <c r="F22" s="34" t="s">
        <v>32</v>
      </c>
    </row>
    <row r="23" spans="1:6" x14ac:dyDescent="0.35">
      <c r="A23" s="6">
        <v>44502</v>
      </c>
      <c r="B23" s="31" t="str">
        <f t="shared" si="0"/>
        <v>November</v>
      </c>
      <c r="C23" s="43" t="s">
        <v>10</v>
      </c>
      <c r="D23" s="13">
        <v>1150</v>
      </c>
      <c r="E23" s="32" t="s">
        <v>29</v>
      </c>
      <c r="F23" s="34" t="s">
        <v>31</v>
      </c>
    </row>
    <row r="24" spans="1:6" x14ac:dyDescent="0.35">
      <c r="A24" s="6">
        <v>44504</v>
      </c>
      <c r="B24" s="31" t="str">
        <f t="shared" si="0"/>
        <v>November</v>
      </c>
      <c r="C24" s="43" t="s">
        <v>10</v>
      </c>
      <c r="D24" s="14">
        <v>1138</v>
      </c>
      <c r="E24" s="32" t="s">
        <v>29</v>
      </c>
      <c r="F24" s="34" t="s">
        <v>31</v>
      </c>
    </row>
    <row r="25" spans="1:6" x14ac:dyDescent="0.35">
      <c r="A25" s="4">
        <v>44505</v>
      </c>
      <c r="B25" s="31" t="str">
        <f t="shared" si="0"/>
        <v>November</v>
      </c>
      <c r="C25" s="43" t="s">
        <v>13</v>
      </c>
      <c r="D25" s="13">
        <v>500</v>
      </c>
      <c r="E25" s="32" t="s">
        <v>29</v>
      </c>
      <c r="F25" s="34" t="s">
        <v>31</v>
      </c>
    </row>
    <row r="26" spans="1:6" x14ac:dyDescent="0.35">
      <c r="A26" s="4">
        <v>44508</v>
      </c>
      <c r="B26" s="31" t="str">
        <f t="shared" si="0"/>
        <v>November</v>
      </c>
      <c r="C26" s="43" t="s">
        <v>6</v>
      </c>
      <c r="D26" s="13">
        <v>702</v>
      </c>
      <c r="E26" s="32" t="s">
        <v>29</v>
      </c>
      <c r="F26" s="34" t="s">
        <v>31</v>
      </c>
    </row>
    <row r="27" spans="1:6" x14ac:dyDescent="0.35">
      <c r="A27" s="6">
        <v>44509</v>
      </c>
      <c r="B27" s="31" t="str">
        <f t="shared" si="0"/>
        <v>November</v>
      </c>
      <c r="C27" s="43" t="s">
        <v>4</v>
      </c>
      <c r="D27" s="14">
        <v>1600</v>
      </c>
      <c r="E27" s="32" t="s">
        <v>28</v>
      </c>
      <c r="F27" s="34" t="s">
        <v>31</v>
      </c>
    </row>
    <row r="28" spans="1:6" x14ac:dyDescent="0.35">
      <c r="A28" s="6">
        <v>44512</v>
      </c>
      <c r="B28" s="31" t="str">
        <f t="shared" si="0"/>
        <v>November</v>
      </c>
      <c r="C28" s="43" t="s">
        <v>5</v>
      </c>
      <c r="D28" s="13">
        <v>600</v>
      </c>
      <c r="E28" s="32" t="s">
        <v>28</v>
      </c>
      <c r="F28" s="34" t="s">
        <v>31</v>
      </c>
    </row>
    <row r="29" spans="1:6" ht="19.25" customHeight="1" x14ac:dyDescent="0.35">
      <c r="A29" s="4">
        <v>44515</v>
      </c>
      <c r="B29" s="31" t="str">
        <f t="shared" si="0"/>
        <v>November</v>
      </c>
      <c r="C29" s="43" t="s">
        <v>13</v>
      </c>
      <c r="D29" s="13">
        <v>900</v>
      </c>
      <c r="E29" s="32" t="s">
        <v>29</v>
      </c>
      <c r="F29" s="34" t="s">
        <v>31</v>
      </c>
    </row>
    <row r="30" spans="1:6" x14ac:dyDescent="0.35">
      <c r="A30" s="6">
        <v>44515</v>
      </c>
      <c r="B30" s="31" t="str">
        <f t="shared" si="0"/>
        <v>November</v>
      </c>
      <c r="C30" s="43" t="s">
        <v>6</v>
      </c>
      <c r="D30" s="13">
        <v>150</v>
      </c>
      <c r="E30" s="32" t="s">
        <v>29</v>
      </c>
      <c r="F30" s="34" t="s">
        <v>31</v>
      </c>
    </row>
    <row r="31" spans="1:6" x14ac:dyDescent="0.35">
      <c r="A31" s="4">
        <v>44515</v>
      </c>
      <c r="B31" s="31" t="str">
        <f t="shared" si="0"/>
        <v>November</v>
      </c>
      <c r="C31" s="43" t="s">
        <v>2</v>
      </c>
      <c r="D31" s="13">
        <v>2100</v>
      </c>
      <c r="E31" s="32" t="s">
        <v>28</v>
      </c>
      <c r="F31" s="34" t="s">
        <v>32</v>
      </c>
    </row>
    <row r="32" spans="1:6" x14ac:dyDescent="0.35">
      <c r="A32" s="4">
        <v>44517</v>
      </c>
      <c r="B32" s="31" t="str">
        <f t="shared" si="0"/>
        <v>November</v>
      </c>
      <c r="C32" s="43" t="s">
        <v>11</v>
      </c>
      <c r="D32" s="13">
        <v>470.63</v>
      </c>
      <c r="E32" s="32" t="s">
        <v>28</v>
      </c>
      <c r="F32" s="34" t="s">
        <v>31</v>
      </c>
    </row>
    <row r="33" spans="1:6" x14ac:dyDescent="0.35">
      <c r="A33" s="4">
        <v>44517</v>
      </c>
      <c r="B33" s="31" t="str">
        <f t="shared" si="0"/>
        <v>November</v>
      </c>
      <c r="C33" s="43" t="s">
        <v>9</v>
      </c>
      <c r="D33" s="13">
        <v>322.64</v>
      </c>
      <c r="E33" s="32" t="s">
        <v>29</v>
      </c>
      <c r="F33" s="34" t="s">
        <v>31</v>
      </c>
    </row>
    <row r="34" spans="1:6" x14ac:dyDescent="0.35">
      <c r="A34" s="4">
        <v>44518</v>
      </c>
      <c r="B34" s="31" t="str">
        <f t="shared" si="0"/>
        <v>November</v>
      </c>
      <c r="C34" s="43" t="s">
        <v>8</v>
      </c>
      <c r="D34" s="13">
        <v>428</v>
      </c>
      <c r="E34" s="32" t="s">
        <v>29</v>
      </c>
      <c r="F34" s="34" t="s">
        <v>31</v>
      </c>
    </row>
    <row r="35" spans="1:6" x14ac:dyDescent="0.35">
      <c r="A35" s="4">
        <v>44519</v>
      </c>
      <c r="B35" s="31" t="str">
        <f t="shared" si="0"/>
        <v>November</v>
      </c>
      <c r="C35" s="43" t="s">
        <v>5</v>
      </c>
      <c r="D35" s="13">
        <v>447</v>
      </c>
      <c r="E35" s="32" t="s">
        <v>28</v>
      </c>
      <c r="F35" s="34" t="s">
        <v>31</v>
      </c>
    </row>
    <row r="36" spans="1:6" x14ac:dyDescent="0.35">
      <c r="A36" s="4">
        <v>44522</v>
      </c>
      <c r="B36" s="31" t="str">
        <f t="shared" si="0"/>
        <v>November</v>
      </c>
      <c r="C36" s="43" t="s">
        <v>4</v>
      </c>
      <c r="D36" s="14">
        <v>1720</v>
      </c>
      <c r="E36" s="32" t="s">
        <v>28</v>
      </c>
      <c r="F36" s="34" t="s">
        <v>31</v>
      </c>
    </row>
    <row r="37" spans="1:6" x14ac:dyDescent="0.35">
      <c r="A37" s="6">
        <v>44524</v>
      </c>
      <c r="B37" s="31" t="str">
        <f t="shared" si="0"/>
        <v>November</v>
      </c>
      <c r="C37" s="43" t="s">
        <v>6</v>
      </c>
      <c r="D37" s="13">
        <v>540</v>
      </c>
      <c r="E37" s="32" t="s">
        <v>29</v>
      </c>
      <c r="F37" s="34" t="s">
        <v>31</v>
      </c>
    </row>
    <row r="38" spans="1:6" x14ac:dyDescent="0.35">
      <c r="A38" s="4">
        <v>44525</v>
      </c>
      <c r="B38" s="31" t="str">
        <f t="shared" si="0"/>
        <v>November</v>
      </c>
      <c r="C38" s="43" t="s">
        <v>7</v>
      </c>
      <c r="D38" s="13">
        <v>314</v>
      </c>
      <c r="E38" s="32" t="s">
        <v>29</v>
      </c>
      <c r="F38" s="34" t="s">
        <v>31</v>
      </c>
    </row>
    <row r="39" spans="1:6" ht="18" customHeight="1" x14ac:dyDescent="0.35">
      <c r="A39" s="4">
        <v>44526</v>
      </c>
      <c r="B39" s="31" t="str">
        <f t="shared" si="0"/>
        <v>November</v>
      </c>
      <c r="C39" s="43" t="s">
        <v>8</v>
      </c>
      <c r="D39" s="13">
        <v>518</v>
      </c>
      <c r="E39" s="32" t="s">
        <v>29</v>
      </c>
      <c r="F39" s="34" t="s">
        <v>31</v>
      </c>
    </row>
    <row r="40" spans="1:6" ht="15.65" customHeight="1" x14ac:dyDescent="0.35">
      <c r="A40" s="4">
        <v>44526</v>
      </c>
      <c r="B40" s="31" t="str">
        <f t="shared" si="0"/>
        <v>November</v>
      </c>
      <c r="C40" s="43" t="s">
        <v>3</v>
      </c>
      <c r="D40" s="14">
        <v>2000</v>
      </c>
      <c r="E40" s="32" t="s">
        <v>29</v>
      </c>
      <c r="F40" s="34" t="s">
        <v>32</v>
      </c>
    </row>
    <row r="41" spans="1:6" x14ac:dyDescent="0.35">
      <c r="A41" s="6">
        <v>44529</v>
      </c>
      <c r="B41" s="31" t="str">
        <f t="shared" si="0"/>
        <v>November</v>
      </c>
      <c r="C41" s="43" t="s">
        <v>7</v>
      </c>
      <c r="D41" s="13">
        <v>337</v>
      </c>
      <c r="E41" s="32" t="s">
        <v>29</v>
      </c>
      <c r="F41" s="34" t="s">
        <v>31</v>
      </c>
    </row>
    <row r="42" spans="1:6" x14ac:dyDescent="0.35">
      <c r="A42" s="4">
        <v>44530</v>
      </c>
      <c r="B42" s="31" t="str">
        <f t="shared" si="0"/>
        <v>November</v>
      </c>
      <c r="C42" s="43" t="s">
        <v>8</v>
      </c>
      <c r="D42" s="13">
        <v>500</v>
      </c>
      <c r="E42" s="32" t="s">
        <v>29</v>
      </c>
      <c r="F42" s="34" t="s">
        <v>31</v>
      </c>
    </row>
    <row r="43" spans="1:6" x14ac:dyDescent="0.35">
      <c r="A43" s="4">
        <v>44531</v>
      </c>
      <c r="B43" s="31" t="str">
        <f t="shared" si="0"/>
        <v>December</v>
      </c>
      <c r="C43" s="43" t="s">
        <v>4</v>
      </c>
      <c r="D43" s="14">
        <v>2500</v>
      </c>
      <c r="E43" s="32" t="s">
        <v>28</v>
      </c>
      <c r="F43" s="34" t="s">
        <v>32</v>
      </c>
    </row>
    <row r="44" spans="1:6" x14ac:dyDescent="0.35">
      <c r="A44" s="6">
        <v>44534</v>
      </c>
      <c r="B44" s="31" t="str">
        <f t="shared" si="0"/>
        <v>December</v>
      </c>
      <c r="C44" s="43" t="s">
        <v>5</v>
      </c>
      <c r="D44" s="13">
        <v>710</v>
      </c>
      <c r="E44" s="32" t="s">
        <v>28</v>
      </c>
      <c r="F44" s="34" t="s">
        <v>31</v>
      </c>
    </row>
    <row r="45" spans="1:6" x14ac:dyDescent="0.35">
      <c r="A45" s="4">
        <v>44537</v>
      </c>
      <c r="B45" s="31" t="str">
        <f t="shared" si="0"/>
        <v>December</v>
      </c>
      <c r="C45" s="43" t="s">
        <v>2</v>
      </c>
      <c r="D45" s="13">
        <v>2300</v>
      </c>
      <c r="E45" s="32" t="s">
        <v>28</v>
      </c>
      <c r="F45" s="34" t="s">
        <v>32</v>
      </c>
    </row>
    <row r="46" spans="1:6" x14ac:dyDescent="0.35">
      <c r="A46" s="4">
        <v>44539</v>
      </c>
      <c r="B46" s="31" t="str">
        <f t="shared" si="0"/>
        <v>December</v>
      </c>
      <c r="C46" s="43" t="s">
        <v>12</v>
      </c>
      <c r="D46" s="13">
        <v>12000</v>
      </c>
      <c r="E46" s="32" t="s">
        <v>29</v>
      </c>
      <c r="F46" s="34" t="s">
        <v>32</v>
      </c>
    </row>
    <row r="47" spans="1:6" x14ac:dyDescent="0.35">
      <c r="A47" s="4">
        <v>44545</v>
      </c>
      <c r="B47" s="31" t="str">
        <f t="shared" si="0"/>
        <v>December</v>
      </c>
      <c r="C47" s="43" t="s">
        <v>10</v>
      </c>
      <c r="D47" s="13">
        <v>1500</v>
      </c>
      <c r="E47" s="32" t="s">
        <v>29</v>
      </c>
      <c r="F47" s="34" t="s">
        <v>31</v>
      </c>
    </row>
    <row r="48" spans="1:6" x14ac:dyDescent="0.35">
      <c r="A48" s="4">
        <v>44547</v>
      </c>
      <c r="B48" s="31" t="str">
        <f t="shared" si="0"/>
        <v>December</v>
      </c>
      <c r="C48" s="43" t="s">
        <v>11</v>
      </c>
      <c r="D48" s="13">
        <v>470.63</v>
      </c>
      <c r="E48" s="32" t="s">
        <v>28</v>
      </c>
      <c r="F48" s="34" t="s">
        <v>31</v>
      </c>
    </row>
    <row r="49" spans="1:6" x14ac:dyDescent="0.35">
      <c r="A49" s="4">
        <v>44550</v>
      </c>
      <c r="B49" s="31" t="str">
        <f t="shared" si="0"/>
        <v>December</v>
      </c>
      <c r="C49" s="43" t="s">
        <v>7</v>
      </c>
      <c r="D49" s="13">
        <v>267</v>
      </c>
      <c r="E49" s="32" t="s">
        <v>29</v>
      </c>
      <c r="F49" s="34" t="s">
        <v>31</v>
      </c>
    </row>
    <row r="50" spans="1:6" x14ac:dyDescent="0.35">
      <c r="A50" s="4">
        <v>44553</v>
      </c>
      <c r="B50" s="31" t="str">
        <f t="shared" si="0"/>
        <v>December</v>
      </c>
      <c r="C50" s="43" t="s">
        <v>6</v>
      </c>
      <c r="D50" s="13">
        <v>640</v>
      </c>
      <c r="E50" s="32" t="s">
        <v>29</v>
      </c>
      <c r="F50" s="34" t="s">
        <v>31</v>
      </c>
    </row>
    <row r="51" spans="1:6" x14ac:dyDescent="0.35">
      <c r="A51" s="4">
        <v>44553</v>
      </c>
      <c r="B51" s="31" t="str">
        <f t="shared" si="0"/>
        <v>December</v>
      </c>
      <c r="C51" s="43" t="s">
        <v>5</v>
      </c>
      <c r="D51" s="13">
        <v>450</v>
      </c>
      <c r="E51" s="32" t="s">
        <v>28</v>
      </c>
      <c r="F51" s="34" t="s">
        <v>31</v>
      </c>
    </row>
    <row r="52" spans="1:6" ht="31" x14ac:dyDescent="0.35">
      <c r="A52" s="2"/>
      <c r="B52" s="2"/>
      <c r="D52" s="9">
        <f>SUM(D2:D51)</f>
        <v>57045.27</v>
      </c>
    </row>
    <row r="53" spans="1:6" ht="15.5" x14ac:dyDescent="0.35">
      <c r="A53" s="1"/>
      <c r="B53" s="1"/>
    </row>
  </sheetData>
  <dataValidations disablePrompts="1" count="2">
    <dataValidation type="list" allowBlank="1" showInputMessage="1" showErrorMessage="1" sqref="E2:E51" xr:uid="{757D7536-5ADE-4F67-88EB-D7AF0E8BAC0E}">
      <formula1>"Essential, Non-essential"</formula1>
    </dataValidation>
    <dataValidation type="list" allowBlank="1" showInputMessage="1" showErrorMessage="1" promptTitle="Cost Type" prompt="if(Expense&gt;2000)" sqref="F2:F51" xr:uid="{F578CC21-F51B-4A5D-B030-1527D95BF53E}">
      <formula1>"Within Budget, Over Budget"</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78ED-C982-4EE1-A532-7979B17BFC17}">
  <dimension ref="B1:B9"/>
  <sheetViews>
    <sheetView topLeftCell="A2" workbookViewId="0">
      <selection activeCell="B9" sqref="B9"/>
    </sheetView>
  </sheetViews>
  <sheetFormatPr defaultRowHeight="14.5" x14ac:dyDescent="0.35"/>
  <cols>
    <col min="2" max="2" width="61.453125" customWidth="1"/>
  </cols>
  <sheetData>
    <row r="1" spans="2:2" x14ac:dyDescent="0.35">
      <c r="B1" s="10" t="s">
        <v>23</v>
      </c>
    </row>
    <row r="2" spans="2:2" ht="39" customHeight="1" x14ac:dyDescent="0.35">
      <c r="B2" s="11" t="s">
        <v>15</v>
      </c>
    </row>
    <row r="3" spans="2:2" ht="25.25" customHeight="1" x14ac:dyDescent="0.35">
      <c r="B3" s="11" t="s">
        <v>16</v>
      </c>
    </row>
    <row r="4" spans="2:2" ht="37.25" customHeight="1" x14ac:dyDescent="0.35">
      <c r="B4" s="11" t="s">
        <v>17</v>
      </c>
    </row>
    <row r="5" spans="2:2" ht="41.4" customHeight="1" x14ac:dyDescent="0.35">
      <c r="B5" s="11" t="s">
        <v>18</v>
      </c>
    </row>
    <row r="6" spans="2:2" ht="32.4" customHeight="1" x14ac:dyDescent="0.35">
      <c r="B6" s="11" t="s">
        <v>19</v>
      </c>
    </row>
    <row r="7" spans="2:2" ht="51" customHeight="1" x14ac:dyDescent="0.35">
      <c r="B7" s="11" t="s">
        <v>20</v>
      </c>
    </row>
    <row r="8" spans="2:2" ht="42" customHeight="1" x14ac:dyDescent="0.35">
      <c r="B8" s="11" t="s">
        <v>21</v>
      </c>
    </row>
    <row r="9" spans="2:2" ht="31.25" customHeight="1" x14ac:dyDescent="0.35">
      <c r="B9" s="1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1167-B82E-474D-BFF7-181A99BFFBFB}">
  <dimension ref="C1:X195"/>
  <sheetViews>
    <sheetView workbookViewId="0">
      <selection activeCell="F36" sqref="F36"/>
    </sheetView>
  </sheetViews>
  <sheetFormatPr defaultRowHeight="14.5" x14ac:dyDescent="0.35"/>
  <cols>
    <col min="3" max="3" width="23.453125" customWidth="1"/>
    <col min="4" max="4" width="33.54296875" style="16" customWidth="1"/>
    <col min="5" max="5" width="17.54296875" customWidth="1"/>
    <col min="6" max="6" width="18.54296875" bestFit="1" customWidth="1"/>
    <col min="7" max="7" width="19.7265625" bestFit="1" customWidth="1"/>
    <col min="8" max="8" width="14.36328125" customWidth="1"/>
  </cols>
  <sheetData>
    <row r="1" spans="3:14" ht="21" x14ac:dyDescent="0.5">
      <c r="C1" s="19" t="s">
        <v>37</v>
      </c>
      <c r="D1" s="20"/>
      <c r="E1" s="19"/>
      <c r="F1" s="19"/>
      <c r="G1" s="21"/>
      <c r="H1" s="22"/>
      <c r="I1" s="22"/>
      <c r="J1" s="22"/>
      <c r="K1" s="22"/>
      <c r="L1" s="22"/>
      <c r="M1" s="22"/>
      <c r="N1" s="22"/>
    </row>
    <row r="3" spans="3:14" ht="15.5" x14ac:dyDescent="0.35">
      <c r="C3" s="17" t="s">
        <v>33</v>
      </c>
      <c r="D3" s="25">
        <f>COUNTIF(Expense!C:C,"Online shopping")</f>
        <v>6</v>
      </c>
    </row>
    <row r="4" spans="3:14" ht="15.5" x14ac:dyDescent="0.35">
      <c r="C4" s="17" t="s">
        <v>34</v>
      </c>
      <c r="D4" s="25">
        <f>COUNTIF(Expense!C:C,"Ordering food")</f>
        <v>5</v>
      </c>
    </row>
    <row r="5" spans="3:14" ht="15.5" x14ac:dyDescent="0.35">
      <c r="C5" s="17" t="s">
        <v>35</v>
      </c>
      <c r="D5" s="25">
        <f>COUNTIF(Expense!C:C,"Gifts")</f>
        <v>4</v>
      </c>
    </row>
    <row r="6" spans="3:14" ht="21" x14ac:dyDescent="0.5">
      <c r="C6" s="18" t="s">
        <v>36</v>
      </c>
      <c r="D6" s="26">
        <f>SUM(D3:D5)</f>
        <v>15</v>
      </c>
    </row>
    <row r="10" spans="3:14" ht="21" x14ac:dyDescent="0.5">
      <c r="C10" s="19" t="s">
        <v>38</v>
      </c>
      <c r="D10" s="20"/>
      <c r="E10" s="19"/>
      <c r="F10" s="19"/>
      <c r="G10" s="19"/>
      <c r="H10" s="19"/>
      <c r="I10" s="19"/>
    </row>
    <row r="12" spans="3:14" x14ac:dyDescent="0.35">
      <c r="C12" s="23" t="s">
        <v>14</v>
      </c>
      <c r="D12" s="23" t="s">
        <v>39</v>
      </c>
    </row>
    <row r="13" spans="3:14" ht="15" x14ac:dyDescent="0.35">
      <c r="C13" s="24" t="s">
        <v>2</v>
      </c>
      <c r="D13" s="24">
        <f>SUMIF(Expense!C:C,Sheet1!C13,Expense!D:D)</f>
        <v>7775</v>
      </c>
    </row>
    <row r="14" spans="3:14" ht="15" x14ac:dyDescent="0.35">
      <c r="C14" s="24" t="s">
        <v>3</v>
      </c>
      <c r="D14" s="24">
        <f>SUMIF(Expense!C:C,Sheet1!C14,Expense!D:D)</f>
        <v>7464</v>
      </c>
    </row>
    <row r="15" spans="3:14" ht="30" x14ac:dyDescent="0.35">
      <c r="C15" s="24" t="s">
        <v>4</v>
      </c>
      <c r="D15" s="24">
        <f>SUMIF(Expense!C:C,Sheet1!C15,Expense!D:D)</f>
        <v>10194.1</v>
      </c>
    </row>
    <row r="16" spans="3:14" ht="15" x14ac:dyDescent="0.35">
      <c r="C16" s="24" t="s">
        <v>5</v>
      </c>
      <c r="D16" s="24">
        <f>SUMIF(Expense!C:C,Sheet1!C16,Expense!D:D)</f>
        <v>3217</v>
      </c>
    </row>
    <row r="17" spans="3:9" ht="15" x14ac:dyDescent="0.35">
      <c r="C17" s="24" t="s">
        <v>6</v>
      </c>
      <c r="D17" s="24">
        <f>SUMIF(Expense!C:C,Sheet1!C17,Expense!D:D)</f>
        <v>3342</v>
      </c>
    </row>
    <row r="18" spans="3:9" ht="15" x14ac:dyDescent="0.35">
      <c r="C18" s="24" t="s">
        <v>10</v>
      </c>
      <c r="D18" s="24">
        <f>SUMIF(Expense!C:C,Sheet1!C18,Expense!D:D)</f>
        <v>5688</v>
      </c>
    </row>
    <row r="19" spans="3:9" ht="15" x14ac:dyDescent="0.35">
      <c r="C19" s="24" t="s">
        <v>7</v>
      </c>
      <c r="D19" s="24">
        <f>SUMIF(Expense!C:C,Sheet1!C19,Expense!D:D)</f>
        <v>1857</v>
      </c>
    </row>
    <row r="20" spans="3:9" ht="15" x14ac:dyDescent="0.35">
      <c r="C20" s="24" t="s">
        <v>8</v>
      </c>
      <c r="D20" s="24">
        <f>SUMIF(Expense!C:C,Sheet1!C20,Expense!D:D)</f>
        <v>2586</v>
      </c>
    </row>
    <row r="21" spans="3:9" ht="15" x14ac:dyDescent="0.35">
      <c r="C21" s="24" t="s">
        <v>11</v>
      </c>
      <c r="D21" s="24">
        <f>SUMIF(Expense!C:C,Sheet1!C21,Expense!D:D)</f>
        <v>1411.26</v>
      </c>
    </row>
    <row r="22" spans="3:9" ht="15" x14ac:dyDescent="0.35">
      <c r="C22" s="24" t="s">
        <v>9</v>
      </c>
      <c r="D22" s="24">
        <f>SUMIF(Expense!C:C,Sheet1!C22,Expense!D:D)</f>
        <v>1510.9099999999999</v>
      </c>
    </row>
    <row r="23" spans="3:9" ht="15" x14ac:dyDescent="0.35">
      <c r="C23" s="24" t="s">
        <v>12</v>
      </c>
      <c r="D23" s="24">
        <f>SUMIF(Expense!C:C,Sheet1!C23,Expense!D:D)</f>
        <v>12000</v>
      </c>
    </row>
    <row r="26" spans="3:9" ht="21" x14ac:dyDescent="0.5">
      <c r="C26" s="19" t="s">
        <v>40</v>
      </c>
      <c r="D26" s="19"/>
      <c r="E26" s="19"/>
      <c r="F26" s="19"/>
      <c r="G26" s="19"/>
      <c r="H26" s="19"/>
      <c r="I26" s="19"/>
    </row>
    <row r="28" spans="3:9" x14ac:dyDescent="0.35">
      <c r="C28" s="28" t="s">
        <v>14</v>
      </c>
      <c r="D28" s="39" t="s">
        <v>39</v>
      </c>
      <c r="E28" s="39" t="s">
        <v>1</v>
      </c>
    </row>
    <row r="29" spans="3:9" ht="15" x14ac:dyDescent="0.35">
      <c r="C29" s="27" t="s">
        <v>2</v>
      </c>
      <c r="D29" s="40">
        <f>VALUE(SUMIF(Expense!C:C,Sheet1!C39,Expense!D:D))</f>
        <v>12000</v>
      </c>
      <c r="E29" s="41">
        <v>1411.26</v>
      </c>
    </row>
    <row r="30" spans="3:9" ht="15" x14ac:dyDescent="0.35">
      <c r="C30" s="27" t="s">
        <v>3</v>
      </c>
      <c r="D30" s="40">
        <f>VALUE(SUMIF(Expense!C:C,Sheet1!C38,Expense!D:D))</f>
        <v>1510.9099999999999</v>
      </c>
      <c r="E30" s="41">
        <v>1510.9099999999999</v>
      </c>
    </row>
    <row r="31" spans="3:9" ht="30" x14ac:dyDescent="0.35">
      <c r="C31" s="27" t="s">
        <v>4</v>
      </c>
      <c r="D31" s="40">
        <f>VALUE(SUMIF(Expense!C:C,Sheet1!C37,Expense!D:D))</f>
        <v>1411.26</v>
      </c>
      <c r="E31" s="41">
        <v>1857</v>
      </c>
    </row>
    <row r="32" spans="3:9" ht="15" x14ac:dyDescent="0.35">
      <c r="C32" s="27" t="s">
        <v>5</v>
      </c>
      <c r="D32" s="40">
        <f>VALUE(SUMIF(Expense!C:C,Sheet1!C36,Expense!D:D))</f>
        <v>2586</v>
      </c>
      <c r="E32" s="41">
        <v>2586</v>
      </c>
    </row>
    <row r="33" spans="3:24" ht="15" x14ac:dyDescent="0.35">
      <c r="C33" s="27" t="s">
        <v>6</v>
      </c>
      <c r="D33" s="40">
        <f>VALUE(SUMIF(Expense!C:C,Sheet1!C35,Expense!D:D))</f>
        <v>1857</v>
      </c>
      <c r="E33" s="41">
        <v>3217</v>
      </c>
    </row>
    <row r="34" spans="3:24" ht="15" x14ac:dyDescent="0.35">
      <c r="C34" s="27" t="s">
        <v>10</v>
      </c>
      <c r="D34" s="40">
        <f>VALUE(SUMIF(Expense!C:C,Sheet1!C34,Expense!D:D))</f>
        <v>5688</v>
      </c>
      <c r="E34" s="41">
        <v>3342</v>
      </c>
    </row>
    <row r="35" spans="3:24" ht="15" x14ac:dyDescent="0.35">
      <c r="C35" s="27" t="s">
        <v>7</v>
      </c>
      <c r="D35" s="40">
        <f>VALUE(SUMIF(Expense!C:C,Sheet1!C33,Expense!D:D))</f>
        <v>3342</v>
      </c>
      <c r="E35" s="41">
        <v>5688</v>
      </c>
    </row>
    <row r="36" spans="3:24" ht="15" x14ac:dyDescent="0.35">
      <c r="C36" s="27" t="s">
        <v>8</v>
      </c>
      <c r="D36" s="40">
        <f>VALUE(SUMIF(Expense!C:C,Sheet1!C32,Expense!D:D))</f>
        <v>3217</v>
      </c>
      <c r="E36" s="41">
        <v>7464</v>
      </c>
    </row>
    <row r="37" spans="3:24" ht="15" x14ac:dyDescent="0.35">
      <c r="C37" s="27" t="s">
        <v>11</v>
      </c>
      <c r="D37" s="40">
        <f>VALUE(SUMIF(Expense!C:C,Sheet1!C31,Expense!D:D))</f>
        <v>10194.1</v>
      </c>
      <c r="E37" s="41">
        <v>7775</v>
      </c>
    </row>
    <row r="38" spans="3:24" ht="15" x14ac:dyDescent="0.35">
      <c r="C38" s="27" t="s">
        <v>9</v>
      </c>
      <c r="D38" s="40">
        <f>VALUE(SUMIF(Expense!C:C,Sheet1!C30,Expense!D:D))</f>
        <v>7464</v>
      </c>
      <c r="E38" s="41">
        <v>10194.1</v>
      </c>
    </row>
    <row r="39" spans="3:24" ht="15" x14ac:dyDescent="0.35">
      <c r="C39" s="27" t="s">
        <v>12</v>
      </c>
      <c r="D39" s="40">
        <f>VALUE(SUMIF(Expense!C:C,Sheet1!C29,Expense!D:D))</f>
        <v>7775</v>
      </c>
      <c r="E39" s="41">
        <v>12000</v>
      </c>
    </row>
    <row r="42" spans="3:24" ht="21" x14ac:dyDescent="0.5">
      <c r="C42" s="19" t="s">
        <v>41</v>
      </c>
      <c r="D42" s="19"/>
      <c r="E42" s="19"/>
      <c r="F42" s="19"/>
      <c r="G42" s="19"/>
      <c r="H42" s="19"/>
      <c r="I42" s="19"/>
      <c r="J42" s="19"/>
      <c r="K42" s="19"/>
      <c r="L42" s="19"/>
      <c r="M42" s="19"/>
      <c r="N42" s="19"/>
      <c r="O42" s="19"/>
      <c r="P42" s="19"/>
      <c r="Q42" s="19"/>
      <c r="R42" s="19"/>
      <c r="S42" s="19"/>
      <c r="T42" s="19"/>
      <c r="U42" s="19"/>
      <c r="V42" s="19"/>
      <c r="W42" s="19"/>
      <c r="X42" s="19"/>
    </row>
    <row r="44" spans="3:24" x14ac:dyDescent="0.35">
      <c r="C44" s="23" t="s">
        <v>14</v>
      </c>
      <c r="D44" s="23" t="s">
        <v>39</v>
      </c>
      <c r="E44" s="23" t="s">
        <v>26</v>
      </c>
    </row>
    <row r="45" spans="3:24" ht="15" x14ac:dyDescent="0.35">
      <c r="C45" s="24" t="s">
        <v>2</v>
      </c>
      <c r="D45" s="24">
        <f>SUMIF(Expense!C:C,Sheet1!C45,Expense!D:D)</f>
        <v>7775</v>
      </c>
      <c r="E45" s="29">
        <f>D45/$D$56</f>
        <v>0.13629526164044803</v>
      </c>
    </row>
    <row r="46" spans="3:24" ht="15" x14ac:dyDescent="0.35">
      <c r="C46" s="24" t="s">
        <v>3</v>
      </c>
      <c r="D46" s="24">
        <f>SUMIF(Expense!C:C,Sheet1!C46,Expense!D:D)</f>
        <v>7464</v>
      </c>
      <c r="E46" s="29">
        <f t="shared" ref="E46:E55" si="0">D46/$D$56</f>
        <v>0.13084345117483009</v>
      </c>
    </row>
    <row r="47" spans="3:24" ht="30" x14ac:dyDescent="0.35">
      <c r="C47" s="24" t="s">
        <v>4</v>
      </c>
      <c r="D47" s="24">
        <f>SUMIF(Expense!C:C,Sheet1!C47,Expense!D:D)</f>
        <v>10194.1</v>
      </c>
      <c r="E47" s="29">
        <f t="shared" si="0"/>
        <v>0.17870193269310497</v>
      </c>
    </row>
    <row r="48" spans="3:24" ht="15" x14ac:dyDescent="0.35">
      <c r="C48" s="24" t="s">
        <v>5</v>
      </c>
      <c r="D48" s="24">
        <f>SUMIF(Expense!C:C,Sheet1!C48,Expense!D:D)</f>
        <v>3217</v>
      </c>
      <c r="E48" s="29">
        <f t="shared" si="0"/>
        <v>5.639380793534679E-2</v>
      </c>
    </row>
    <row r="49" spans="3:7" ht="15" x14ac:dyDescent="0.35">
      <c r="C49" s="24" t="s">
        <v>6</v>
      </c>
      <c r="D49" s="24">
        <f>SUMIF(Expense!C:C,Sheet1!C49,Expense!D:D)</f>
        <v>3342</v>
      </c>
      <c r="E49" s="29">
        <f t="shared" si="0"/>
        <v>5.8585050083907048E-2</v>
      </c>
    </row>
    <row r="50" spans="3:7" ht="15" x14ac:dyDescent="0.35">
      <c r="C50" s="24" t="s">
        <v>10</v>
      </c>
      <c r="D50" s="24">
        <f>SUMIF(Expense!C:C,Sheet1!C50,Expense!D:D)</f>
        <v>5688</v>
      </c>
      <c r="E50" s="29">
        <f t="shared" si="0"/>
        <v>9.9710282728085964E-2</v>
      </c>
    </row>
    <row r="51" spans="3:7" ht="15" x14ac:dyDescent="0.35">
      <c r="C51" s="24" t="s">
        <v>7</v>
      </c>
      <c r="D51" s="24">
        <f>SUMIF(Expense!C:C,Sheet1!C51,Expense!D:D)</f>
        <v>1857</v>
      </c>
      <c r="E51" s="29">
        <f t="shared" si="0"/>
        <v>3.2553093359011187E-2</v>
      </c>
    </row>
    <row r="52" spans="3:7" ht="15" x14ac:dyDescent="0.35">
      <c r="C52" s="24" t="s">
        <v>8</v>
      </c>
      <c r="D52" s="24">
        <f>SUMIF(Expense!C:C,Sheet1!C52,Expense!D:D)</f>
        <v>2586</v>
      </c>
      <c r="E52" s="29">
        <f t="shared" si="0"/>
        <v>4.5332417569414613E-2</v>
      </c>
    </row>
    <row r="53" spans="3:7" ht="15" x14ac:dyDescent="0.35">
      <c r="C53" s="24" t="s">
        <v>11</v>
      </c>
      <c r="D53" s="24">
        <f>SUMIF(Expense!C:C,Sheet1!C53,Expense!D:D)</f>
        <v>1411.26</v>
      </c>
      <c r="E53" s="29">
        <f t="shared" si="0"/>
        <v>2.4739299156617194E-2</v>
      </c>
    </row>
    <row r="54" spans="3:7" ht="15" x14ac:dyDescent="0.35">
      <c r="C54" s="24" t="s">
        <v>9</v>
      </c>
      <c r="D54" s="24">
        <f>SUMIF(Expense!C:C,Sheet1!C54,Expense!D:D)</f>
        <v>1510.9099999999999</v>
      </c>
      <c r="E54" s="29">
        <f t="shared" si="0"/>
        <v>2.6486157397449427E-2</v>
      </c>
    </row>
    <row r="55" spans="3:7" ht="15" x14ac:dyDescent="0.35">
      <c r="C55" s="24" t="s">
        <v>12</v>
      </c>
      <c r="D55" s="24">
        <f>SUMIF(Expense!C:C,Sheet1!C55,Expense!D:D)</f>
        <v>12000</v>
      </c>
      <c r="E55" s="29">
        <f t="shared" si="0"/>
        <v>0.21035924626178473</v>
      </c>
    </row>
    <row r="56" spans="3:7" x14ac:dyDescent="0.35">
      <c r="D56" s="16">
        <v>57045.27</v>
      </c>
    </row>
    <row r="59" spans="3:7" ht="21" x14ac:dyDescent="0.5">
      <c r="C59" s="19" t="s">
        <v>42</v>
      </c>
      <c r="D59" s="19"/>
      <c r="E59" s="19"/>
      <c r="F59" s="19"/>
      <c r="G59" s="19"/>
    </row>
    <row r="61" spans="3:7" x14ac:dyDescent="0.35">
      <c r="C61" s="30" t="s">
        <v>43</v>
      </c>
      <c r="D61" s="30" t="s">
        <v>25</v>
      </c>
    </row>
    <row r="62" spans="3:7" x14ac:dyDescent="0.35">
      <c r="C62" s="31" t="s">
        <v>44</v>
      </c>
      <c r="D62" s="35">
        <f>SUMIF(Expense!B2:B51,Sheet1!C62,Expense!D2:D51)</f>
        <v>17443.37</v>
      </c>
    </row>
    <row r="63" spans="3:7" x14ac:dyDescent="0.35">
      <c r="C63" s="31" t="s">
        <v>45</v>
      </c>
      <c r="D63" s="35">
        <f>SUMIF(Expense!B3:B52,Sheet1!C63,Expense!D3:D52)</f>
        <v>18764.269999999997</v>
      </c>
    </row>
    <row r="64" spans="3:7" x14ac:dyDescent="0.35">
      <c r="C64" s="31" t="s">
        <v>46</v>
      </c>
      <c r="D64" s="35">
        <f>SUMIF(Expense!B4:B53,Sheet1!C64,Expense!D4:D53)</f>
        <v>20837.63</v>
      </c>
    </row>
    <row r="77" spans="3:22" ht="21" x14ac:dyDescent="0.5">
      <c r="C77" s="19" t="s">
        <v>47</v>
      </c>
      <c r="D77" s="19"/>
      <c r="E77" s="19"/>
      <c r="F77" s="19"/>
      <c r="G77" s="19"/>
      <c r="H77" s="19"/>
      <c r="I77" s="19"/>
      <c r="J77" s="19"/>
      <c r="K77" s="19"/>
      <c r="L77" s="19"/>
      <c r="M77" s="19"/>
      <c r="N77" s="19"/>
      <c r="O77" s="19"/>
      <c r="P77" s="19"/>
      <c r="Q77" s="19"/>
      <c r="R77" s="19"/>
      <c r="S77" s="19"/>
      <c r="T77" s="19"/>
      <c r="U77" s="19"/>
      <c r="V77" s="19"/>
    </row>
    <row r="79" spans="3:22" x14ac:dyDescent="0.35">
      <c r="C79" s="3" t="s">
        <v>0</v>
      </c>
      <c r="D79" s="3" t="s">
        <v>14</v>
      </c>
      <c r="E79" s="12" t="s">
        <v>1</v>
      </c>
      <c r="F79" s="36" t="s">
        <v>27</v>
      </c>
    </row>
    <row r="80" spans="3:22" x14ac:dyDescent="0.35">
      <c r="C80" s="4">
        <v>44470</v>
      </c>
      <c r="D80" s="5" t="s">
        <v>2</v>
      </c>
      <c r="E80" s="13">
        <v>2300</v>
      </c>
      <c r="F80" s="32" t="s">
        <v>28</v>
      </c>
    </row>
    <row r="81" spans="3:6" x14ac:dyDescent="0.35">
      <c r="C81" s="6">
        <v>44470</v>
      </c>
      <c r="D81" s="7" t="s">
        <v>3</v>
      </c>
      <c r="E81" s="13">
        <v>767</v>
      </c>
      <c r="F81" s="32" t="s">
        <v>29</v>
      </c>
    </row>
    <row r="82" spans="3:6" x14ac:dyDescent="0.35">
      <c r="C82" s="6">
        <v>44470</v>
      </c>
      <c r="D82" s="7" t="s">
        <v>4</v>
      </c>
      <c r="E82" s="14">
        <v>2500</v>
      </c>
      <c r="F82" s="32" t="s">
        <v>28</v>
      </c>
    </row>
    <row r="83" spans="3:6" x14ac:dyDescent="0.35">
      <c r="C83" s="6">
        <v>44473</v>
      </c>
      <c r="D83" s="7" t="s">
        <v>5</v>
      </c>
      <c r="E83" s="13">
        <v>710</v>
      </c>
      <c r="F83" s="32" t="s">
        <v>28</v>
      </c>
    </row>
    <row r="84" spans="3:6" x14ac:dyDescent="0.35">
      <c r="C84" s="4">
        <v>44473</v>
      </c>
      <c r="D84" s="5" t="s">
        <v>6</v>
      </c>
      <c r="E84" s="13">
        <v>760</v>
      </c>
      <c r="F84" s="32" t="s">
        <v>29</v>
      </c>
    </row>
    <row r="85" spans="3:6" x14ac:dyDescent="0.35">
      <c r="C85" s="6">
        <v>44476</v>
      </c>
      <c r="D85" s="7" t="s">
        <v>10</v>
      </c>
      <c r="E85" s="14">
        <v>1900</v>
      </c>
      <c r="F85" s="32" t="s">
        <v>29</v>
      </c>
    </row>
    <row r="86" spans="3:6" x14ac:dyDescent="0.35">
      <c r="C86" s="4">
        <v>44477</v>
      </c>
      <c r="D86" s="5" t="s">
        <v>7</v>
      </c>
      <c r="E86" s="13">
        <v>450</v>
      </c>
      <c r="F86" s="32" t="s">
        <v>29</v>
      </c>
    </row>
    <row r="87" spans="3:6" x14ac:dyDescent="0.35">
      <c r="C87" s="6">
        <v>44484</v>
      </c>
      <c r="D87" s="7" t="s">
        <v>8</v>
      </c>
      <c r="E87" s="13">
        <v>620</v>
      </c>
      <c r="F87" s="32" t="s">
        <v>29</v>
      </c>
    </row>
    <row r="88" spans="3:6" x14ac:dyDescent="0.35">
      <c r="C88" s="6">
        <v>44485</v>
      </c>
      <c r="D88" s="7" t="s">
        <v>11</v>
      </c>
      <c r="E88" s="13">
        <v>470</v>
      </c>
      <c r="F88" s="32" t="s">
        <v>28</v>
      </c>
    </row>
    <row r="89" spans="3:6" x14ac:dyDescent="0.35">
      <c r="C89" s="6">
        <v>44487</v>
      </c>
      <c r="D89" s="7" t="s">
        <v>3</v>
      </c>
      <c r="E89" s="13">
        <v>970</v>
      </c>
      <c r="F89" s="32" t="s">
        <v>29</v>
      </c>
    </row>
    <row r="90" spans="3:6" x14ac:dyDescent="0.35">
      <c r="C90" s="6">
        <v>44487</v>
      </c>
      <c r="D90" s="5" t="s">
        <v>2</v>
      </c>
      <c r="E90" s="14">
        <v>1075</v>
      </c>
      <c r="F90" s="32" t="s">
        <v>28</v>
      </c>
    </row>
    <row r="91" spans="3:6" x14ac:dyDescent="0.35">
      <c r="C91" s="6">
        <v>44488</v>
      </c>
      <c r="D91" s="7" t="s">
        <v>7</v>
      </c>
      <c r="E91" s="13">
        <v>489</v>
      </c>
      <c r="F91" s="32" t="s">
        <v>29</v>
      </c>
    </row>
    <row r="92" spans="3:6" x14ac:dyDescent="0.35">
      <c r="C92" s="6">
        <v>44491</v>
      </c>
      <c r="D92" s="7" t="s">
        <v>4</v>
      </c>
      <c r="E92" s="14">
        <v>1574.1</v>
      </c>
      <c r="F92" s="32" t="s">
        <v>28</v>
      </c>
    </row>
    <row r="93" spans="3:6" x14ac:dyDescent="0.35">
      <c r="C93" s="6">
        <v>44491</v>
      </c>
      <c r="D93" s="7" t="s">
        <v>6</v>
      </c>
      <c r="E93" s="13">
        <v>550</v>
      </c>
      <c r="F93" s="32" t="s">
        <v>29</v>
      </c>
    </row>
    <row r="94" spans="3:6" x14ac:dyDescent="0.35">
      <c r="C94" s="6">
        <v>44494</v>
      </c>
      <c r="D94" s="7" t="s">
        <v>9</v>
      </c>
      <c r="E94" s="13">
        <v>423</v>
      </c>
      <c r="F94" s="32" t="s">
        <v>29</v>
      </c>
    </row>
    <row r="95" spans="3:6" x14ac:dyDescent="0.35">
      <c r="C95" s="6">
        <v>44496</v>
      </c>
      <c r="D95" s="7" t="s">
        <v>9</v>
      </c>
      <c r="E95" s="13">
        <v>358.22</v>
      </c>
      <c r="F95" s="32" t="s">
        <v>29</v>
      </c>
    </row>
    <row r="96" spans="3:6" x14ac:dyDescent="0.35">
      <c r="C96" s="6">
        <v>44496</v>
      </c>
      <c r="D96" s="7" t="s">
        <v>8</v>
      </c>
      <c r="E96" s="13">
        <v>520</v>
      </c>
      <c r="F96" s="32" t="s">
        <v>29</v>
      </c>
    </row>
    <row r="97" spans="3:6" x14ac:dyDescent="0.35">
      <c r="C97" s="4">
        <v>44497</v>
      </c>
      <c r="D97" s="5" t="s">
        <v>5</v>
      </c>
      <c r="E97" s="13">
        <v>300</v>
      </c>
      <c r="F97" s="32" t="s">
        <v>28</v>
      </c>
    </row>
    <row r="98" spans="3:6" x14ac:dyDescent="0.35">
      <c r="C98" s="4">
        <v>44498</v>
      </c>
      <c r="D98" s="5" t="s">
        <v>9</v>
      </c>
      <c r="E98" s="13">
        <v>407.05</v>
      </c>
      <c r="F98" s="32" t="s">
        <v>29</v>
      </c>
    </row>
    <row r="99" spans="3:6" x14ac:dyDescent="0.35">
      <c r="C99" s="4">
        <v>44499</v>
      </c>
      <c r="D99" s="5" t="s">
        <v>4</v>
      </c>
      <c r="E99" s="13">
        <v>300</v>
      </c>
      <c r="F99" s="32" t="s">
        <v>28</v>
      </c>
    </row>
    <row r="100" spans="3:6" x14ac:dyDescent="0.35">
      <c r="C100" s="6">
        <v>44501</v>
      </c>
      <c r="D100" s="7" t="s">
        <v>3</v>
      </c>
      <c r="E100" s="14">
        <v>2327</v>
      </c>
      <c r="F100" s="32" t="s">
        <v>29</v>
      </c>
    </row>
    <row r="101" spans="3:6" x14ac:dyDescent="0.35">
      <c r="C101" s="6">
        <v>44502</v>
      </c>
      <c r="D101" s="7" t="s">
        <v>10</v>
      </c>
      <c r="E101" s="13">
        <v>1150</v>
      </c>
      <c r="F101" s="32" t="s">
        <v>29</v>
      </c>
    </row>
    <row r="102" spans="3:6" x14ac:dyDescent="0.35">
      <c r="C102" s="6">
        <v>44504</v>
      </c>
      <c r="D102" s="7" t="s">
        <v>10</v>
      </c>
      <c r="E102" s="14">
        <v>1138</v>
      </c>
      <c r="F102" s="32" t="s">
        <v>29</v>
      </c>
    </row>
    <row r="103" spans="3:6" x14ac:dyDescent="0.35">
      <c r="C103" s="4">
        <v>44505</v>
      </c>
      <c r="D103" s="5" t="s">
        <v>13</v>
      </c>
      <c r="E103" s="13">
        <v>500</v>
      </c>
      <c r="F103" s="32" t="s">
        <v>29</v>
      </c>
    </row>
    <row r="104" spans="3:6" x14ac:dyDescent="0.35">
      <c r="C104" s="4">
        <v>44508</v>
      </c>
      <c r="D104" s="5" t="s">
        <v>6</v>
      </c>
      <c r="E104" s="13">
        <v>702</v>
      </c>
      <c r="F104" s="32" t="s">
        <v>29</v>
      </c>
    </row>
    <row r="105" spans="3:6" x14ac:dyDescent="0.35">
      <c r="C105" s="6">
        <v>44509</v>
      </c>
      <c r="D105" s="7" t="s">
        <v>4</v>
      </c>
      <c r="E105" s="14">
        <v>1600</v>
      </c>
      <c r="F105" s="32" t="s">
        <v>28</v>
      </c>
    </row>
    <row r="106" spans="3:6" x14ac:dyDescent="0.35">
      <c r="C106" s="6">
        <v>44512</v>
      </c>
      <c r="D106" s="7" t="s">
        <v>5</v>
      </c>
      <c r="E106" s="13">
        <v>600</v>
      </c>
      <c r="F106" s="32" t="s">
        <v>28</v>
      </c>
    </row>
    <row r="107" spans="3:6" x14ac:dyDescent="0.35">
      <c r="C107" s="4">
        <v>44515</v>
      </c>
      <c r="D107" s="5" t="s">
        <v>13</v>
      </c>
      <c r="E107" s="13">
        <v>900</v>
      </c>
      <c r="F107" s="32" t="s">
        <v>29</v>
      </c>
    </row>
    <row r="108" spans="3:6" x14ac:dyDescent="0.35">
      <c r="C108" s="6">
        <v>44515</v>
      </c>
      <c r="D108" s="5" t="s">
        <v>6</v>
      </c>
      <c r="E108" s="13">
        <v>150</v>
      </c>
      <c r="F108" s="32" t="s">
        <v>29</v>
      </c>
    </row>
    <row r="109" spans="3:6" x14ac:dyDescent="0.35">
      <c r="C109" s="4">
        <v>44515</v>
      </c>
      <c r="D109" s="5" t="s">
        <v>2</v>
      </c>
      <c r="E109" s="13">
        <v>2100</v>
      </c>
      <c r="F109" s="32" t="s">
        <v>28</v>
      </c>
    </row>
    <row r="110" spans="3:6" x14ac:dyDescent="0.35">
      <c r="C110" s="4">
        <v>44517</v>
      </c>
      <c r="D110" s="5" t="s">
        <v>11</v>
      </c>
      <c r="E110" s="13">
        <v>470.63</v>
      </c>
      <c r="F110" s="32" t="s">
        <v>28</v>
      </c>
    </row>
    <row r="111" spans="3:6" x14ac:dyDescent="0.35">
      <c r="C111" s="4">
        <v>44517</v>
      </c>
      <c r="D111" s="5" t="s">
        <v>9</v>
      </c>
      <c r="E111" s="13">
        <v>322.64</v>
      </c>
      <c r="F111" s="32" t="s">
        <v>29</v>
      </c>
    </row>
    <row r="112" spans="3:6" x14ac:dyDescent="0.35">
      <c r="C112" s="4">
        <v>44518</v>
      </c>
      <c r="D112" s="7" t="s">
        <v>8</v>
      </c>
      <c r="E112" s="13">
        <v>428</v>
      </c>
      <c r="F112" s="32" t="s">
        <v>29</v>
      </c>
    </row>
    <row r="113" spans="3:6" x14ac:dyDescent="0.35">
      <c r="C113" s="4">
        <v>44519</v>
      </c>
      <c r="D113" s="5" t="s">
        <v>5</v>
      </c>
      <c r="E113" s="13">
        <v>447</v>
      </c>
      <c r="F113" s="32" t="s">
        <v>28</v>
      </c>
    </row>
    <row r="114" spans="3:6" x14ac:dyDescent="0.35">
      <c r="C114" s="4">
        <v>44522</v>
      </c>
      <c r="D114" s="5" t="s">
        <v>4</v>
      </c>
      <c r="E114" s="14">
        <v>1720</v>
      </c>
      <c r="F114" s="32" t="s">
        <v>28</v>
      </c>
    </row>
    <row r="115" spans="3:6" x14ac:dyDescent="0.35">
      <c r="C115" s="6">
        <v>44524</v>
      </c>
      <c r="D115" s="7" t="s">
        <v>6</v>
      </c>
      <c r="E115" s="13">
        <v>540</v>
      </c>
      <c r="F115" s="32" t="s">
        <v>29</v>
      </c>
    </row>
    <row r="116" spans="3:6" x14ac:dyDescent="0.35">
      <c r="C116" s="4">
        <v>44525</v>
      </c>
      <c r="D116" s="5" t="s">
        <v>7</v>
      </c>
      <c r="E116" s="13">
        <v>314</v>
      </c>
      <c r="F116" s="32" t="s">
        <v>29</v>
      </c>
    </row>
    <row r="117" spans="3:6" x14ac:dyDescent="0.35">
      <c r="C117" s="4">
        <v>44526</v>
      </c>
      <c r="D117" s="5" t="s">
        <v>8</v>
      </c>
      <c r="E117" s="13">
        <v>518</v>
      </c>
      <c r="F117" s="32" t="s">
        <v>29</v>
      </c>
    </row>
    <row r="118" spans="3:6" x14ac:dyDescent="0.35">
      <c r="C118" s="4">
        <v>44526</v>
      </c>
      <c r="D118" s="7" t="s">
        <v>3</v>
      </c>
      <c r="E118" s="14">
        <v>2000</v>
      </c>
      <c r="F118" s="32" t="s">
        <v>29</v>
      </c>
    </row>
    <row r="119" spans="3:6" x14ac:dyDescent="0.35">
      <c r="C119" s="6">
        <v>44529</v>
      </c>
      <c r="D119" s="7" t="s">
        <v>7</v>
      </c>
      <c r="E119" s="13">
        <v>337</v>
      </c>
      <c r="F119" s="32" t="s">
        <v>29</v>
      </c>
    </row>
    <row r="120" spans="3:6" x14ac:dyDescent="0.35">
      <c r="C120" s="4">
        <v>44530</v>
      </c>
      <c r="D120" s="5" t="s">
        <v>8</v>
      </c>
      <c r="E120" s="13">
        <v>500</v>
      </c>
      <c r="F120" s="32" t="s">
        <v>29</v>
      </c>
    </row>
    <row r="121" spans="3:6" x14ac:dyDescent="0.35">
      <c r="C121" s="4">
        <v>44531</v>
      </c>
      <c r="D121" s="5" t="s">
        <v>4</v>
      </c>
      <c r="E121" s="14">
        <v>2500</v>
      </c>
      <c r="F121" s="32" t="s">
        <v>28</v>
      </c>
    </row>
    <row r="122" spans="3:6" x14ac:dyDescent="0.35">
      <c r="C122" s="6">
        <v>44534</v>
      </c>
      <c r="D122" s="7" t="s">
        <v>5</v>
      </c>
      <c r="E122" s="13">
        <v>710</v>
      </c>
      <c r="F122" s="32" t="s">
        <v>28</v>
      </c>
    </row>
    <row r="123" spans="3:6" x14ac:dyDescent="0.35">
      <c r="C123" s="4">
        <v>44537</v>
      </c>
      <c r="D123" s="5" t="s">
        <v>2</v>
      </c>
      <c r="E123" s="13">
        <v>2300</v>
      </c>
      <c r="F123" s="32" t="s">
        <v>28</v>
      </c>
    </row>
    <row r="124" spans="3:6" x14ac:dyDescent="0.35">
      <c r="C124" s="4">
        <v>44539</v>
      </c>
      <c r="D124" s="5" t="s">
        <v>12</v>
      </c>
      <c r="E124" s="13">
        <v>12000</v>
      </c>
      <c r="F124" s="32" t="s">
        <v>29</v>
      </c>
    </row>
    <row r="125" spans="3:6" x14ac:dyDescent="0.35">
      <c r="C125" s="4">
        <v>44545</v>
      </c>
      <c r="D125" s="7" t="s">
        <v>10</v>
      </c>
      <c r="E125" s="13">
        <v>1500</v>
      </c>
      <c r="F125" s="32" t="s">
        <v>29</v>
      </c>
    </row>
    <row r="126" spans="3:6" x14ac:dyDescent="0.35">
      <c r="C126" s="4">
        <v>44547</v>
      </c>
      <c r="D126" s="5" t="s">
        <v>11</v>
      </c>
      <c r="E126" s="13">
        <v>470.63</v>
      </c>
      <c r="F126" s="32" t="s">
        <v>28</v>
      </c>
    </row>
    <row r="127" spans="3:6" x14ac:dyDescent="0.35">
      <c r="C127" s="4">
        <v>44550</v>
      </c>
      <c r="D127" s="5" t="s">
        <v>7</v>
      </c>
      <c r="E127" s="13">
        <v>267</v>
      </c>
      <c r="F127" s="32" t="s">
        <v>29</v>
      </c>
    </row>
    <row r="128" spans="3:6" x14ac:dyDescent="0.35">
      <c r="C128" s="4">
        <v>44553</v>
      </c>
      <c r="D128" s="5" t="s">
        <v>6</v>
      </c>
      <c r="E128" s="13">
        <v>640</v>
      </c>
      <c r="F128" s="32" t="s">
        <v>29</v>
      </c>
    </row>
    <row r="129" spans="3:20" x14ac:dyDescent="0.35">
      <c r="C129" s="4">
        <v>44553</v>
      </c>
      <c r="D129" s="5" t="s">
        <v>5</v>
      </c>
      <c r="E129" s="8">
        <v>450</v>
      </c>
      <c r="F129" s="32" t="s">
        <v>28</v>
      </c>
    </row>
    <row r="130" spans="3:20" ht="31" x14ac:dyDescent="0.35">
      <c r="C130" s="2"/>
      <c r="D130" s="2"/>
    </row>
    <row r="132" spans="3:20" ht="21" x14ac:dyDescent="0.5">
      <c r="C132" s="19" t="s">
        <v>48</v>
      </c>
      <c r="D132" s="19"/>
      <c r="E132" s="19"/>
      <c r="F132" s="19"/>
      <c r="G132" s="19"/>
      <c r="H132" s="19"/>
      <c r="I132" s="19"/>
      <c r="J132" s="19"/>
      <c r="K132" s="19"/>
      <c r="L132" s="19"/>
      <c r="M132" s="19"/>
      <c r="N132" s="19"/>
      <c r="O132" s="19"/>
      <c r="P132" s="19"/>
      <c r="Q132" s="19"/>
      <c r="R132" s="19"/>
      <c r="S132" s="19"/>
      <c r="T132" s="19"/>
    </row>
    <row r="134" spans="3:20" x14ac:dyDescent="0.35">
      <c r="C134" s="3" t="s">
        <v>0</v>
      </c>
      <c r="D134" s="3" t="s">
        <v>14</v>
      </c>
      <c r="E134" s="12" t="s">
        <v>1</v>
      </c>
      <c r="F134" s="37" t="s">
        <v>30</v>
      </c>
    </row>
    <row r="135" spans="3:20" x14ac:dyDescent="0.35">
      <c r="C135" s="4">
        <v>44470</v>
      </c>
      <c r="D135" s="5" t="s">
        <v>2</v>
      </c>
      <c r="E135" s="13">
        <v>2300</v>
      </c>
      <c r="F135" s="34" t="s">
        <v>32</v>
      </c>
    </row>
    <row r="136" spans="3:20" x14ac:dyDescent="0.35">
      <c r="C136" s="6">
        <v>44470</v>
      </c>
      <c r="D136" s="7" t="s">
        <v>3</v>
      </c>
      <c r="E136" s="13">
        <v>767</v>
      </c>
      <c r="F136" s="34" t="s">
        <v>31</v>
      </c>
    </row>
    <row r="137" spans="3:20" x14ac:dyDescent="0.35">
      <c r="C137" s="6">
        <v>44470</v>
      </c>
      <c r="D137" s="7" t="s">
        <v>4</v>
      </c>
      <c r="E137" s="14">
        <v>2500</v>
      </c>
      <c r="F137" s="34" t="s">
        <v>32</v>
      </c>
    </row>
    <row r="138" spans="3:20" x14ac:dyDescent="0.35">
      <c r="C138" s="6">
        <v>44473</v>
      </c>
      <c r="D138" s="7" t="s">
        <v>5</v>
      </c>
      <c r="E138" s="13">
        <v>710</v>
      </c>
      <c r="F138" s="34" t="s">
        <v>31</v>
      </c>
    </row>
    <row r="139" spans="3:20" x14ac:dyDescent="0.35">
      <c r="C139" s="4">
        <v>44473</v>
      </c>
      <c r="D139" s="5" t="s">
        <v>6</v>
      </c>
      <c r="E139" s="13">
        <v>760</v>
      </c>
      <c r="F139" s="34" t="s">
        <v>32</v>
      </c>
    </row>
    <row r="140" spans="3:20" x14ac:dyDescent="0.35">
      <c r="C140" s="6">
        <v>44476</v>
      </c>
      <c r="D140" s="7" t="s">
        <v>10</v>
      </c>
      <c r="E140" s="14">
        <v>1900</v>
      </c>
      <c r="F140" s="34" t="s">
        <v>31</v>
      </c>
    </row>
    <row r="141" spans="3:20" x14ac:dyDescent="0.35">
      <c r="C141" s="4">
        <v>44477</v>
      </c>
      <c r="D141" s="5" t="s">
        <v>7</v>
      </c>
      <c r="E141" s="13">
        <v>450</v>
      </c>
      <c r="F141" s="34" t="s">
        <v>31</v>
      </c>
    </row>
    <row r="142" spans="3:20" x14ac:dyDescent="0.35">
      <c r="C142" s="6">
        <v>44484</v>
      </c>
      <c r="D142" s="7" t="s">
        <v>8</v>
      </c>
      <c r="E142" s="13">
        <v>620</v>
      </c>
      <c r="F142" s="34" t="s">
        <v>31</v>
      </c>
    </row>
    <row r="143" spans="3:20" x14ac:dyDescent="0.35">
      <c r="C143" s="6">
        <v>44485</v>
      </c>
      <c r="D143" s="7" t="s">
        <v>11</v>
      </c>
      <c r="E143" s="13">
        <v>470</v>
      </c>
      <c r="F143" s="34" t="s">
        <v>31</v>
      </c>
    </row>
    <row r="144" spans="3:20" x14ac:dyDescent="0.35">
      <c r="C144" s="6">
        <v>44487</v>
      </c>
      <c r="D144" s="7" t="s">
        <v>3</v>
      </c>
      <c r="E144" s="13">
        <v>970</v>
      </c>
      <c r="F144" s="34" t="s">
        <v>31</v>
      </c>
    </row>
    <row r="145" spans="3:6" x14ac:dyDescent="0.35">
      <c r="C145" s="6">
        <v>44487</v>
      </c>
      <c r="D145" s="5" t="s">
        <v>2</v>
      </c>
      <c r="E145" s="14">
        <v>1075</v>
      </c>
      <c r="F145" s="34" t="s">
        <v>31</v>
      </c>
    </row>
    <row r="146" spans="3:6" x14ac:dyDescent="0.35">
      <c r="C146" s="6">
        <v>44488</v>
      </c>
      <c r="D146" s="7" t="s">
        <v>7</v>
      </c>
      <c r="E146" s="13">
        <v>489</v>
      </c>
      <c r="F146" s="34" t="s">
        <v>31</v>
      </c>
    </row>
    <row r="147" spans="3:6" x14ac:dyDescent="0.35">
      <c r="C147" s="6">
        <v>44491</v>
      </c>
      <c r="D147" s="7" t="s">
        <v>4</v>
      </c>
      <c r="E147" s="14">
        <v>1574.1</v>
      </c>
      <c r="F147" s="34" t="s">
        <v>31</v>
      </c>
    </row>
    <row r="148" spans="3:6" x14ac:dyDescent="0.35">
      <c r="C148" s="6">
        <v>44491</v>
      </c>
      <c r="D148" s="7" t="s">
        <v>6</v>
      </c>
      <c r="E148" s="13">
        <v>550</v>
      </c>
      <c r="F148" s="34" t="s">
        <v>31</v>
      </c>
    </row>
    <row r="149" spans="3:6" x14ac:dyDescent="0.35">
      <c r="C149" s="6">
        <v>44494</v>
      </c>
      <c r="D149" s="7" t="s">
        <v>9</v>
      </c>
      <c r="E149" s="13">
        <v>423</v>
      </c>
      <c r="F149" s="34" t="s">
        <v>31</v>
      </c>
    </row>
    <row r="150" spans="3:6" x14ac:dyDescent="0.35">
      <c r="C150" s="6">
        <v>44496</v>
      </c>
      <c r="D150" s="7" t="s">
        <v>9</v>
      </c>
      <c r="E150" s="13">
        <v>358.22</v>
      </c>
      <c r="F150" s="34" t="s">
        <v>31</v>
      </c>
    </row>
    <row r="151" spans="3:6" x14ac:dyDescent="0.35">
      <c r="C151" s="6">
        <v>44496</v>
      </c>
      <c r="D151" s="7" t="s">
        <v>8</v>
      </c>
      <c r="E151" s="13">
        <v>520</v>
      </c>
      <c r="F151" s="34" t="s">
        <v>31</v>
      </c>
    </row>
    <row r="152" spans="3:6" x14ac:dyDescent="0.35">
      <c r="C152" s="4">
        <v>44497</v>
      </c>
      <c r="D152" s="5" t="s">
        <v>5</v>
      </c>
      <c r="E152" s="13">
        <v>300</v>
      </c>
      <c r="F152" s="34" t="s">
        <v>31</v>
      </c>
    </row>
    <row r="153" spans="3:6" x14ac:dyDescent="0.35">
      <c r="C153" s="4">
        <v>44498</v>
      </c>
      <c r="D153" s="5" t="s">
        <v>9</v>
      </c>
      <c r="E153" s="13">
        <v>407.05</v>
      </c>
      <c r="F153" s="34" t="s">
        <v>31</v>
      </c>
    </row>
    <row r="154" spans="3:6" x14ac:dyDescent="0.35">
      <c r="C154" s="4">
        <v>44499</v>
      </c>
      <c r="D154" s="5" t="s">
        <v>4</v>
      </c>
      <c r="E154" s="13">
        <v>300</v>
      </c>
      <c r="F154" s="34" t="s">
        <v>31</v>
      </c>
    </row>
    <row r="155" spans="3:6" x14ac:dyDescent="0.35">
      <c r="C155" s="6">
        <v>44501</v>
      </c>
      <c r="D155" s="7" t="s">
        <v>3</v>
      </c>
      <c r="E155" s="14">
        <v>2327</v>
      </c>
      <c r="F155" s="34" t="s">
        <v>32</v>
      </c>
    </row>
    <row r="156" spans="3:6" x14ac:dyDescent="0.35">
      <c r="C156" s="6">
        <v>44502</v>
      </c>
      <c r="D156" s="7" t="s">
        <v>10</v>
      </c>
      <c r="E156" s="13">
        <v>1150</v>
      </c>
      <c r="F156" s="34" t="s">
        <v>31</v>
      </c>
    </row>
    <row r="157" spans="3:6" x14ac:dyDescent="0.35">
      <c r="C157" s="6">
        <v>44504</v>
      </c>
      <c r="D157" s="7" t="s">
        <v>10</v>
      </c>
      <c r="E157" s="14">
        <v>1138</v>
      </c>
      <c r="F157" s="34" t="s">
        <v>31</v>
      </c>
    </row>
    <row r="158" spans="3:6" x14ac:dyDescent="0.35">
      <c r="C158" s="4">
        <v>44505</v>
      </c>
      <c r="D158" s="5" t="s">
        <v>13</v>
      </c>
      <c r="E158" s="13">
        <v>500</v>
      </c>
      <c r="F158" s="34" t="s">
        <v>31</v>
      </c>
    </row>
    <row r="159" spans="3:6" x14ac:dyDescent="0.35">
      <c r="C159" s="4">
        <v>44508</v>
      </c>
      <c r="D159" s="5" t="s">
        <v>6</v>
      </c>
      <c r="E159" s="13">
        <v>702</v>
      </c>
      <c r="F159" s="34" t="s">
        <v>31</v>
      </c>
    </row>
    <row r="160" spans="3:6" x14ac:dyDescent="0.35">
      <c r="C160" s="6">
        <v>44509</v>
      </c>
      <c r="D160" s="7" t="s">
        <v>4</v>
      </c>
      <c r="E160" s="14">
        <v>1600</v>
      </c>
      <c r="F160" s="34" t="s">
        <v>31</v>
      </c>
    </row>
    <row r="161" spans="3:6" x14ac:dyDescent="0.35">
      <c r="C161" s="6">
        <v>44512</v>
      </c>
      <c r="D161" s="7" t="s">
        <v>5</v>
      </c>
      <c r="E161" s="13">
        <v>600</v>
      </c>
      <c r="F161" s="34" t="s">
        <v>31</v>
      </c>
    </row>
    <row r="162" spans="3:6" x14ac:dyDescent="0.35">
      <c r="C162" s="4">
        <v>44515</v>
      </c>
      <c r="D162" s="5" t="s">
        <v>13</v>
      </c>
      <c r="E162" s="13">
        <v>900</v>
      </c>
      <c r="F162" s="34" t="s">
        <v>31</v>
      </c>
    </row>
    <row r="163" spans="3:6" x14ac:dyDescent="0.35">
      <c r="C163" s="6">
        <v>44515</v>
      </c>
      <c r="D163" s="5" t="s">
        <v>6</v>
      </c>
      <c r="E163" s="13">
        <v>150</v>
      </c>
      <c r="F163" s="34" t="s">
        <v>31</v>
      </c>
    </row>
    <row r="164" spans="3:6" x14ac:dyDescent="0.35">
      <c r="C164" s="4">
        <v>44515</v>
      </c>
      <c r="D164" s="5" t="s">
        <v>2</v>
      </c>
      <c r="E164" s="13">
        <v>2100</v>
      </c>
      <c r="F164" s="34" t="s">
        <v>32</v>
      </c>
    </row>
    <row r="165" spans="3:6" x14ac:dyDescent="0.35">
      <c r="C165" s="4">
        <v>44517</v>
      </c>
      <c r="D165" s="5" t="s">
        <v>11</v>
      </c>
      <c r="E165" s="13">
        <v>470.63</v>
      </c>
      <c r="F165" s="34" t="s">
        <v>31</v>
      </c>
    </row>
    <row r="166" spans="3:6" x14ac:dyDescent="0.35">
      <c r="C166" s="4">
        <v>44517</v>
      </c>
      <c r="D166" s="5" t="s">
        <v>9</v>
      </c>
      <c r="E166" s="13">
        <v>322.64</v>
      </c>
      <c r="F166" s="34" t="s">
        <v>31</v>
      </c>
    </row>
    <row r="167" spans="3:6" x14ac:dyDescent="0.35">
      <c r="C167" s="4">
        <v>44518</v>
      </c>
      <c r="D167" s="7" t="s">
        <v>8</v>
      </c>
      <c r="E167" s="13">
        <v>428</v>
      </c>
      <c r="F167" s="34" t="s">
        <v>31</v>
      </c>
    </row>
    <row r="168" spans="3:6" x14ac:dyDescent="0.35">
      <c r="C168" s="4">
        <v>44519</v>
      </c>
      <c r="D168" s="5" t="s">
        <v>5</v>
      </c>
      <c r="E168" s="13">
        <v>447</v>
      </c>
      <c r="F168" s="34" t="s">
        <v>31</v>
      </c>
    </row>
    <row r="169" spans="3:6" x14ac:dyDescent="0.35">
      <c r="C169" s="4">
        <v>44522</v>
      </c>
      <c r="D169" s="5" t="s">
        <v>4</v>
      </c>
      <c r="E169" s="14">
        <v>1720</v>
      </c>
      <c r="F169" s="34" t="s">
        <v>31</v>
      </c>
    </row>
    <row r="170" spans="3:6" x14ac:dyDescent="0.35">
      <c r="C170" s="6">
        <v>44524</v>
      </c>
      <c r="D170" s="7" t="s">
        <v>6</v>
      </c>
      <c r="E170" s="13">
        <v>540</v>
      </c>
      <c r="F170" s="34" t="s">
        <v>31</v>
      </c>
    </row>
    <row r="171" spans="3:6" x14ac:dyDescent="0.35">
      <c r="C171" s="4">
        <v>44525</v>
      </c>
      <c r="D171" s="5" t="s">
        <v>7</v>
      </c>
      <c r="E171" s="13">
        <v>314</v>
      </c>
      <c r="F171" s="34" t="s">
        <v>31</v>
      </c>
    </row>
    <row r="172" spans="3:6" x14ac:dyDescent="0.35">
      <c r="C172" s="4">
        <v>44526</v>
      </c>
      <c r="D172" s="5" t="s">
        <v>8</v>
      </c>
      <c r="E172" s="13">
        <v>518</v>
      </c>
      <c r="F172" s="34" t="s">
        <v>31</v>
      </c>
    </row>
    <row r="173" spans="3:6" x14ac:dyDescent="0.35">
      <c r="C173" s="4">
        <v>44526</v>
      </c>
      <c r="D173" s="7" t="s">
        <v>3</v>
      </c>
      <c r="E173" s="14">
        <v>2000</v>
      </c>
      <c r="F173" s="34" t="s">
        <v>32</v>
      </c>
    </row>
    <row r="174" spans="3:6" x14ac:dyDescent="0.35">
      <c r="C174" s="6">
        <v>44529</v>
      </c>
      <c r="D174" s="7" t="s">
        <v>7</v>
      </c>
      <c r="E174" s="13">
        <v>337</v>
      </c>
      <c r="F174" s="34" t="s">
        <v>31</v>
      </c>
    </row>
    <row r="175" spans="3:6" x14ac:dyDescent="0.35">
      <c r="C175" s="4">
        <v>44530</v>
      </c>
      <c r="D175" s="5" t="s">
        <v>8</v>
      </c>
      <c r="E175" s="13">
        <v>500</v>
      </c>
      <c r="F175" s="34" t="s">
        <v>31</v>
      </c>
    </row>
    <row r="176" spans="3:6" x14ac:dyDescent="0.35">
      <c r="C176" s="4">
        <v>44531</v>
      </c>
      <c r="D176" s="5" t="s">
        <v>4</v>
      </c>
      <c r="E176" s="14">
        <v>2500</v>
      </c>
      <c r="F176" s="34" t="s">
        <v>32</v>
      </c>
    </row>
    <row r="177" spans="3:8" x14ac:dyDescent="0.35">
      <c r="C177" s="6">
        <v>44534</v>
      </c>
      <c r="D177" s="7" t="s">
        <v>5</v>
      </c>
      <c r="E177" s="13">
        <v>710</v>
      </c>
      <c r="F177" s="34" t="s">
        <v>31</v>
      </c>
    </row>
    <row r="178" spans="3:8" x14ac:dyDescent="0.35">
      <c r="C178" s="4">
        <v>44537</v>
      </c>
      <c r="D178" s="5" t="s">
        <v>2</v>
      </c>
      <c r="E178" s="13">
        <v>2300</v>
      </c>
      <c r="F178" s="34" t="s">
        <v>32</v>
      </c>
    </row>
    <row r="179" spans="3:8" x14ac:dyDescent="0.35">
      <c r="C179" s="4">
        <v>44539</v>
      </c>
      <c r="D179" s="5" t="s">
        <v>12</v>
      </c>
      <c r="E179" s="13">
        <v>12000</v>
      </c>
      <c r="F179" s="34" t="s">
        <v>32</v>
      </c>
    </row>
    <row r="180" spans="3:8" x14ac:dyDescent="0.35">
      <c r="C180" s="4">
        <v>44545</v>
      </c>
      <c r="D180" s="7" t="s">
        <v>10</v>
      </c>
      <c r="E180" s="13">
        <v>1500</v>
      </c>
      <c r="F180" s="34" t="s">
        <v>31</v>
      </c>
    </row>
    <row r="181" spans="3:8" x14ac:dyDescent="0.35">
      <c r="C181" s="4">
        <v>44547</v>
      </c>
      <c r="D181" s="5" t="s">
        <v>11</v>
      </c>
      <c r="E181" s="13">
        <v>470.63</v>
      </c>
      <c r="F181" s="34" t="s">
        <v>31</v>
      </c>
    </row>
    <row r="182" spans="3:8" x14ac:dyDescent="0.35">
      <c r="C182" s="4">
        <v>44550</v>
      </c>
      <c r="D182" s="5" t="s">
        <v>7</v>
      </c>
      <c r="E182" s="13">
        <v>267</v>
      </c>
      <c r="F182" s="34" t="s">
        <v>31</v>
      </c>
    </row>
    <row r="183" spans="3:8" x14ac:dyDescent="0.35">
      <c r="C183" s="4">
        <v>44553</v>
      </c>
      <c r="D183" s="5" t="s">
        <v>6</v>
      </c>
      <c r="E183" s="13">
        <v>640</v>
      </c>
      <c r="F183" s="34" t="s">
        <v>31</v>
      </c>
    </row>
    <row r="184" spans="3:8" x14ac:dyDescent="0.35">
      <c r="C184" s="4">
        <v>44553</v>
      </c>
      <c r="D184" s="5" t="s">
        <v>5</v>
      </c>
      <c r="E184" s="13">
        <v>450</v>
      </c>
      <c r="F184" s="34" t="s">
        <v>31</v>
      </c>
    </row>
    <row r="187" spans="3:8" ht="21" x14ac:dyDescent="0.5">
      <c r="C187" s="19" t="s">
        <v>49</v>
      </c>
      <c r="D187" s="19"/>
      <c r="E187" s="19"/>
      <c r="F187" s="19"/>
      <c r="G187" s="19"/>
      <c r="H187" s="19"/>
    </row>
    <row r="189" spans="3:8" x14ac:dyDescent="0.35">
      <c r="C189" s="38" t="s">
        <v>50</v>
      </c>
      <c r="D189" s="38"/>
      <c r="E189" s="38"/>
    </row>
    <row r="190" spans="3:8" x14ac:dyDescent="0.35">
      <c r="C190" s="38" t="s">
        <v>51</v>
      </c>
      <c r="D190" s="38"/>
      <c r="E190" s="38"/>
    </row>
    <row r="191" spans="3:8" x14ac:dyDescent="0.35">
      <c r="C191" s="38" t="s">
        <v>52</v>
      </c>
      <c r="D191" s="38"/>
      <c r="E191" s="38"/>
    </row>
    <row r="192" spans="3:8" x14ac:dyDescent="0.35">
      <c r="C192" s="38" t="s">
        <v>53</v>
      </c>
      <c r="D192" s="38"/>
      <c r="E192" s="38"/>
    </row>
    <row r="193" spans="3:5" x14ac:dyDescent="0.35">
      <c r="C193" s="38" t="s">
        <v>54</v>
      </c>
      <c r="D193" s="38"/>
      <c r="E193" s="38"/>
    </row>
    <row r="194" spans="3:5" x14ac:dyDescent="0.35">
      <c r="C194" s="38" t="s">
        <v>55</v>
      </c>
      <c r="D194" s="38"/>
      <c r="E194" s="38"/>
    </row>
    <row r="195" spans="3:5" x14ac:dyDescent="0.35">
      <c r="C195" s="38" t="s">
        <v>56</v>
      </c>
      <c r="D195" s="38"/>
      <c r="E195" s="38"/>
    </row>
  </sheetData>
  <sortState xmlns:xlrd2="http://schemas.microsoft.com/office/spreadsheetml/2017/richdata2" ref="C29:E39">
    <sortCondition ref="E29:E39"/>
  </sortState>
  <dataValidations count="2">
    <dataValidation type="list" allowBlank="1" showInputMessage="1" showErrorMessage="1" sqref="F80:F129" xr:uid="{F412C911-2663-46E0-AF2D-A7A4EB308882}">
      <formula1>"Essential, Non-essential"</formula1>
    </dataValidation>
    <dataValidation type="list" allowBlank="1" showInputMessage="1" showErrorMessage="1" promptTitle="Cost Type" prompt="if(Expense&gt;2000)" sqref="F135:F184" xr:uid="{A0896A89-CEBB-4C5A-A7AE-EFB6E115287F}">
      <formula1>"Within Budget, Over Budget"</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Expense</vt:lpstr>
      <vt:lpstr>Tasks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Poulomi Paul</dc:creator>
  <cp:lastModifiedBy>varsha chauhan</cp:lastModifiedBy>
  <dcterms:created xsi:type="dcterms:W3CDTF">2015-06-05T18:17:20Z</dcterms:created>
  <dcterms:modified xsi:type="dcterms:W3CDTF">2026-06-12T07:00:23Z</dcterms:modified>
</cp:coreProperties>
</file>